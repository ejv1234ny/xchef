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ceipt Index" sheetId="2" state="visible" r:id="rId4"/>
    <sheet name="Mad Moose 0806" sheetId="3" state="visible" r:id="rId5"/>
    <sheet name="Moose Loose 0818" sheetId="4" state="visible" r:id="rId6"/>
    <sheet name="Mad Moose 0815 recall" sheetId="5" state="visible" r:id="rId7"/>
    <sheet name="Moose I13372 0722" sheetId="6" state="visible" r:id="rId8"/>
    <sheet name="Moose I26544 0804" sheetId="7" state="visible" r:id="rId9"/>
    <sheet name="Moose I4710 0708" sheetId="8" state="visible" r:id="rId10"/>
    <sheet name="Mad Moose I9681 0722" sheetId="9" state="visible" r:id="rId11"/>
    <sheet name="Mad Moose I968 0722" sheetId="10" state="visible" r:id="rId12"/>
    <sheet name="Mad Moose I23708 0721" sheetId="11" state="visible" r:id="rId13"/>
    <sheet name="Moose I9588 0721" sheetId="12" state="visible" r:id="rId14"/>
    <sheet name="Mad Moose I11777 0804" sheetId="13" state="visible" r:id="rId15"/>
    <sheet name="Supplies 792.24" sheetId="14" state="visible" r:id="rId16"/>
    <sheet name="Supplies 784.19" sheetId="15" state="visible" r:id="rId17"/>
    <sheet name="Receipt S01" sheetId="16" state="visible" r:id="rId18"/>
    <sheet name="Receipt S11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<sst xmlns="http://schemas.openxmlformats.org/spreadsheetml/2006/main" count="1337" uniqueCount="599">
  <si>
    <t xml:space="preserve">Restaurant Depot — Receipts Summary</t>
  </si>
  <si>
    <t xml:space="preserve">Store #802 · Colonie, NY · buyer Erin Hunnewell. One row per distinct receipt. ‘Sum of legible items’ is what was readable on the scans; ‘Printed total’ is the receipt's own total where the scan showed it. Where they differ, the scan was cut off (see each sheet's note).</t>
  </si>
  <si>
    <t xml:space="preserve">Receipt (sheet)</t>
  </si>
  <si>
    <t xml:space="preserve">Business</t>
  </si>
  <si>
    <t xml:space="preserve">Date / Time</t>
  </si>
  <si>
    <t xml:space="preserve">Sum of legible items</t>
  </si>
  <si>
    <t xml:space="preserve">Printed total</t>
  </si>
  <si>
    <t xml:space="preserve">Mad Moose 0806</t>
  </si>
  <si>
    <t xml:space="preserve">Mad Moose Bar and Grill</t>
  </si>
  <si>
    <t xml:space="preserve">08-05-26 08:06</t>
  </si>
  <si>
    <t xml:space="preserve">—</t>
  </si>
  <si>
    <t xml:space="preserve">Moose Loose 0818</t>
  </si>
  <si>
    <t xml:space="preserve">Moose on the Loose</t>
  </si>
  <si>
    <t xml:space="preserve">08-05-26 08:18</t>
  </si>
  <si>
    <t xml:space="preserve">Mad Moose 0815 recall</t>
  </si>
  <si>
    <t xml:space="preserve">08-05-26 08:15</t>
  </si>
  <si>
    <t xml:space="preserve">Moose I13372 0722</t>
  </si>
  <si>
    <t xml:space="preserve">07-22-26 09:28</t>
  </si>
  <si>
    <t xml:space="preserve">Moose I26544 0804</t>
  </si>
  <si>
    <t xml:space="preserve">08-04-26 15:35</t>
  </si>
  <si>
    <t xml:space="preserve">Moose I4710 0708</t>
  </si>
  <si>
    <t xml:space="preserve">07-08-26 07:42</t>
  </si>
  <si>
    <t xml:space="preserve">Mad Moose I9681 0722</t>
  </si>
  <si>
    <t xml:space="preserve">07-22-26 09:31</t>
  </si>
  <si>
    <t xml:space="preserve">Mad Moose I968 0722</t>
  </si>
  <si>
    <t xml:space="preserve">07-22-26 09:36</t>
  </si>
  <si>
    <t xml:space="preserve">Mad Moose I23708 0721</t>
  </si>
  <si>
    <t xml:space="preserve">07-21-26 14:59</t>
  </si>
  <si>
    <t xml:space="preserve">Moose I9588 0721</t>
  </si>
  <si>
    <t xml:space="preserve">07-21-26 14:56</t>
  </si>
  <si>
    <t xml:space="preserve">Mad Moose I11777 0804</t>
  </si>
  <si>
    <t xml:space="preserve">Mad Moose Bar and Grill (Bar w/ serving kitchen)</t>
  </si>
  <si>
    <t xml:space="preserve">08-04-26 15:34</t>
  </si>
  <si>
    <t xml:space="preserve">Supplies 792.24</t>
  </si>
  <si>
    <t xml:space="preserve">(customer header not captured)</t>
  </si>
  <si>
    <t xml:space="preserve">Supplies 784.19</t>
  </si>
  <si>
    <t xml:space="preserve">Receipt S01</t>
  </si>
  <si>
    <t xml:space="preserve">Receipt S11</t>
  </si>
  <si>
    <t xml:space="preserve">Receipt Index — distinct receipts &amp; duplicate scans</t>
  </si>
  <si>
    <t xml:space="preserve">All uploads are Restaurant Depot Store #802 (Colonie, NY), buyer Erin Hunnewell. Same-file re-uploads and receipts photographed more than once were removed; each distinct receipt is kept once.</t>
  </si>
  <si>
    <t xml:space="preserve">Source file(s)</t>
  </si>
  <si>
    <t xml:space="preserve">Transaction (Register · Invoice)</t>
  </si>
  <si>
    <t xml:space="preserve">Grand Total</t>
  </si>
  <si>
    <t xml:space="preserve">Status</t>
  </si>
  <si>
    <t xml:space="preserve">RD 86.pdf ×2</t>
  </si>
  <si>
    <t xml:space="preserve">Mad Moose</t>
  </si>
  <si>
    <t xml:space="preserve">C16 I15336 OP288797</t>
  </si>
  <si>
    <t xml:space="preserve">In queue (2nd upload = duplicate, removed)</t>
  </si>
  <si>
    <t xml:space="preserve">Rd.pdf ×2</t>
  </si>
  <si>
    <t xml:space="preserve">C16 I15337 OP288797</t>
  </si>
  <si>
    <t xml:space="preserve">Scan_0002 (+rd8602,0003)</t>
  </si>
  <si>
    <t xml:space="preserve">NEW · added (dupes removed)</t>
  </si>
  <si>
    <t xml:space="preserve">Scan_0004 + 0005 (+0003,rd8602)</t>
  </si>
  <si>
    <t xml:space="preserve">C16 I13372 OP289802</t>
  </si>
  <si>
    <t xml:space="preserve">Scan_0005 (+rd8602)</t>
  </si>
  <si>
    <t xml:space="preserve">C13 I26544 OP279671</t>
  </si>
  <si>
    <t xml:space="preserve">NEW · added (partial scan)</t>
  </si>
  <si>
    <t xml:space="preserve">Scan_0006</t>
  </si>
  <si>
    <t xml:space="preserve">C18 I4710 OP279671</t>
  </si>
  <si>
    <t xml:space="preserve">Scan_0009</t>
  </si>
  <si>
    <t xml:space="preserve">C15 I9681 OP247304</t>
  </si>
  <si>
    <t xml:space="preserve">NEW · added (total cut off)</t>
  </si>
  <si>
    <t xml:space="preserve">Scan_0010</t>
  </si>
  <si>
    <t xml:space="preserve">C15 I968x OP???</t>
  </si>
  <si>
    <t xml:space="preserve">Scan_0012</t>
  </si>
  <si>
    <t xml:space="preserve">C13 I23708 OP280210</t>
  </si>
  <si>
    <t xml:space="preserve">Scan_0008 (right)</t>
  </si>
  <si>
    <t xml:space="preserve">C15 I9588 OP247304</t>
  </si>
  <si>
    <t xml:space="preserve">Scan_0007 (right)</t>
  </si>
  <si>
    <t xml:space="preserve">C15 I11777 OP289802</t>
  </si>
  <si>
    <t xml:space="preserve">NEW · added (upside-down, low confidence)</t>
  </si>
  <si>
    <t xml:space="preserve">Scan_0007 (left)</t>
  </si>
  <si>
    <t xml:space="preserve">Unidentified</t>
  </si>
  <si>
    <t xml:space="preserve">(no header captured)</t>
  </si>
  <si>
    <t xml:space="preserve">NEW · added (tail only, business unknown)</t>
  </si>
  <si>
    <t xml:space="preserve">Scan_0008 (left)</t>
  </si>
  <si>
    <t xml:space="preserve">Scan_0001</t>
  </si>
  <si>
    <t xml:space="preserve">NEW · added (no header/total)</t>
  </si>
  <si>
    <t xml:space="preserve">Scan_0011</t>
  </si>
  <si>
    <t xml:space="preserve">NEW · added (middle only)</t>
  </si>
  <si>
    <t xml:space="preserve">rd8603.pdf</t>
  </si>
  <si>
    <t xml:space="preserve">— (not a receipt)</t>
  </si>
  <si>
    <t xml:space="preserve">06-09-26</t>
  </si>
  <si>
    <t xml:space="preserve">VT DMV Driver/Vehicle Exam Report</t>
  </si>
  <si>
    <t xml:space="preserve">EXCLUDED · not a receipt</t>
  </si>
  <si>
    <t xml:space="preserve">Transaction</t>
  </si>
  <si>
    <t xml:space="preserve">C16 I15336 OP288797  08-05-26 08:06</t>
  </si>
  <si>
    <t xml:space="preserve">Account</t>
  </si>
  <si>
    <t xml:space="preserve">1016712288</t>
  </si>
  <si>
    <t xml:space="preserve">Payment</t>
  </si>
  <si>
    <t xml:space="preserve">(payment line not legible on scan)</t>
  </si>
  <si>
    <t xml:space="preserve">Receipt tallies</t>
  </si>
  <si>
    <t xml:space="preserve">Units Entered 23 · Cases 7 · Items Rung Up 30 · RW Items 16 · Units Count 62</t>
  </si>
  <si>
    <t xml:space="preserve">Note: Already in the workbook. Printed subtotal/tax/grand total were cut off on the scan.</t>
  </si>
  <si>
    <t xml:space="preserve">Description</t>
  </si>
  <si>
    <t xml:space="preserve">Item Code</t>
  </si>
  <si>
    <t xml:space="preserve">Pack / Detail</t>
  </si>
  <si>
    <t xml:space="preserve">Units</t>
  </si>
  <si>
    <t xml:space="preserve">Amount</t>
  </si>
  <si>
    <t xml:space="preserve">PROSCIUTTO DANIELE</t>
  </si>
  <si>
    <t xml:space="preserve">207722013213</t>
  </si>
  <si>
    <t xml:space="preserve">13.21 LB @ $6.49/LB</t>
  </si>
  <si>
    <t xml:space="preserve">PD BRUSSEL SPRT HALV 5#</t>
  </si>
  <si>
    <t xml:space="preserve">030223063636</t>
  </si>
  <si>
    <t xml:space="preserve">U</t>
  </si>
  <si>
    <t xml:space="preserve">GROUND PORK 5LBS</t>
  </si>
  <si>
    <t xml:space="preserve">027182106221</t>
  </si>
  <si>
    <t xml:space="preserve">C · 1cs/7u</t>
  </si>
  <si>
    <t xml:space="preserve">CHIC WNG JUMB PRTY</t>
  </si>
  <si>
    <t xml:space="preserve">207720040006</t>
  </si>
  <si>
    <t xml:space="preserve">40 LB @ $1.79/LB</t>
  </si>
  <si>
    <t xml:space="preserve">WRAP SPINACH 12CT</t>
  </si>
  <si>
    <t xml:space="preserve">760695007035</t>
  </si>
  <si>
    <t xml:space="preserve">C · 1cs/6u</t>
  </si>
  <si>
    <t xml:space="preserve">CHZ MOZZ THIN SLCD 8/LB</t>
  </si>
  <si>
    <t xml:space="preserve">031142005479</t>
  </si>
  <si>
    <t xml:space="preserve">C · 1cs/8u</t>
  </si>
  <si>
    <t xml:space="preserve">CHZ PARM SHV DOM 4/5LB</t>
  </si>
  <si>
    <t xml:space="preserve">760695008551</t>
  </si>
  <si>
    <t xml:space="preserve">C · 1cs/4u</t>
  </si>
  <si>
    <t xml:space="preserve">BF ANG GROUND CHUK R/W</t>
  </si>
  <si>
    <t xml:space="preserve">207928160407</t>
  </si>
  <si>
    <t xml:space="preserve">60.4 LB @ $5.36/LB</t>
  </si>
  <si>
    <t xml:space="preserve">VOLUME ADJUSTMENT</t>
  </si>
  <si>
    <t xml:space="preserve">applied to preceding item</t>
  </si>
  <si>
    <t xml:space="preserve">207928160902</t>
  </si>
  <si>
    <t xml:space="preserve">60.9 LB @ $4.93/LB</t>
  </si>
  <si>
    <t xml:space="preserve">CHIC BNLS THIGH HALAL</t>
  </si>
  <si>
    <t xml:space="preserve">207950240009</t>
  </si>
  <si>
    <t xml:space="preserve">40 LB @ $1.74/LB</t>
  </si>
  <si>
    <t xml:space="preserve">PD BASIL 1LB</t>
  </si>
  <si>
    <t xml:space="preserve">854342004017</t>
  </si>
  <si>
    <t xml:space="preserve">PD GINGER 30LB/CS</t>
  </si>
  <si>
    <t xml:space="preserve">646127900153</t>
  </si>
  <si>
    <t xml:space="preserve">LI SOUND OYSTERS 50CT</t>
  </si>
  <si>
    <t xml:space="preserve">501900098000</t>
  </si>
  <si>
    <t xml:space="preserve">DISCOUNT</t>
  </si>
  <si>
    <t xml:space="preserve">45.00% (appr #270772 Pam Smith)</t>
  </si>
  <si>
    <t xml:space="preserve">207928163309</t>
  </si>
  <si>
    <t xml:space="preserve">63.3 LB @ $4.93/LB</t>
  </si>
  <si>
    <t xml:space="preserve">25.00% (appr #270772 Pam Smith)</t>
  </si>
  <si>
    <t xml:space="preserve">207928163606</t>
  </si>
  <si>
    <t xml:space="preserve">63.6 LB @ $4.93/LB</t>
  </si>
  <si>
    <t xml:space="preserve">CHIC BRST TNDR/OUT</t>
  </si>
  <si>
    <t xml:space="preserve">207723280003</t>
  </si>
  <si>
    <t xml:space="preserve">80 LB @ $1.46/LB (UPC appr #270772)</t>
  </si>
  <si>
    <t xml:space="preserve">207723240007</t>
  </si>
  <si>
    <t xml:space="preserve">40 LB @ $1.46/LB (UPC appr #270772)</t>
  </si>
  <si>
    <t xml:space="preserve">Sum of legible line items</t>
  </si>
  <si>
    <t xml:space="preserve">C16 I15337 OP288797  08-05-26 08:18</t>
  </si>
  <si>
    <t xml:space="preserve">80212569</t>
  </si>
  <si>
    <t xml:space="preserve">Total Units Count 45</t>
  </si>
  <si>
    <t xml:space="preserve">Note: Already in the workbook. Two lines (WHTP CRM, 2nd PD ROMAINE) and the money totals were cut off.</t>
  </si>
  <si>
    <t xml:space="preserve">PD JALAPENO 5# BAG</t>
  </si>
  <si>
    <t xml:space="preserve">732966005576</t>
  </si>
  <si>
    <t xml:space="preserve">PD LEMON JUICE 1QT</t>
  </si>
  <si>
    <t xml:space="preserve">725341333333</t>
  </si>
  <si>
    <t xml:space="preserve">PD MINT 4OZ</t>
  </si>
  <si>
    <t xml:space="preserve">810003005045</t>
  </si>
  <si>
    <t xml:space="preserve">PD ROSEMARY 1LB</t>
  </si>
  <si>
    <t xml:space="preserve">854342004093</t>
  </si>
  <si>
    <t xml:space="preserve">WHTP CRM JF NONDRY 147</t>
  </si>
  <si>
    <t xml:space="preserve">price not legible</t>
  </si>
  <si>
    <t xml:space="preserve">PD CUCUMBRS SELECT 50LB</t>
  </si>
  <si>
    <t xml:space="preserve">020600425034</t>
  </si>
  <si>
    <t xml:space="preserve">PD CELERY CS</t>
  </si>
  <si>
    <t xml:space="preserve">020600425584</t>
  </si>
  <si>
    <t xml:space="preserve">PD ONION VD/SWT 10LBS</t>
  </si>
  <si>
    <t xml:space="preserve">020618000513</t>
  </si>
  <si>
    <t xml:space="preserve">C · 1cs/60u</t>
  </si>
  <si>
    <t xml:space="preserve">VC void</t>
  </si>
  <si>
    <t xml:space="preserve">PD TURKISH FIG 20OZ</t>
  </si>
  <si>
    <t xml:space="preserve">019175052608</t>
  </si>
  <si>
    <t xml:space="preserve">PD PEPPER POBLANO CASE</t>
  </si>
  <si>
    <t xml:space="preserve">732966099018</t>
  </si>
  <si>
    <t xml:space="preserve">PD CABBAGE BAG</t>
  </si>
  <si>
    <t xml:space="preserve">020600426659</t>
  </si>
  <si>
    <t xml:space="preserve">CHZ CREAM LOAF JF 3LB</t>
  </si>
  <si>
    <t xml:space="preserve">760695000005</t>
  </si>
  <si>
    <t xml:space="preserve">C · 1cs/10u</t>
  </si>
  <si>
    <t xml:space="preserve">CHZ GOAT PAIL 2/4LB2</t>
  </si>
  <si>
    <t xml:space="preserve">761657903044</t>
  </si>
  <si>
    <t xml:space="preserve">C · 1cs/2u</t>
  </si>
  <si>
    <t xml:space="preserve">CHZ BLU CRUM TC 5#</t>
  </si>
  <si>
    <t xml:space="preserve">075805171231</t>
  </si>
  <si>
    <t xml:space="preserve">PD SHRED CARROTS 5LB</t>
  </si>
  <si>
    <t xml:space="preserve">030223050704</t>
  </si>
  <si>
    <t xml:space="preserve">PD A/BOY7 6 ROM HEART</t>
  </si>
  <si>
    <t xml:space="preserve">740695651650</t>
  </si>
  <si>
    <t xml:space="preserve">PD ROMAINE 24CT CS</t>
  </si>
  <si>
    <t xml:space="preserve">740695651056</t>
  </si>
  <si>
    <t xml:space="preserve">C16 I15336 OP288797  08-05-26 08:15</t>
  </si>
  <si>
    <t xml:space="preserve">US DEBIT / VISA  ·  Approval 662026  ·  Ref 9987</t>
  </si>
  <si>
    <t xml:space="preserve">Units Entered 41 · Cases 11 · Items Rung Up 52 · Units Count 139 · Subtotal $1,094.14 (RECALLED ref $2,678.51, #2, 31 items)</t>
  </si>
  <si>
    <t xml:space="preserve">Note: Source: Scan_0002 (rd8602 &amp; Scan_0003 are duplicate captures, removed). ~11 middle items between CHZ RICOTA and FZ CHOC TRILOGY were not captured on the scans.</t>
  </si>
  <si>
    <t xml:space="preserve">PD STRAWBERRIES 1LB</t>
  </si>
  <si>
    <t xml:space="preserve">812092030175</t>
  </si>
  <si>
    <t xml:space="preserve">PD CABBAGE RED BOX</t>
  </si>
  <si>
    <t xml:space="preserve">020600425973</t>
  </si>
  <si>
    <t xml:space="preserve">PD ASPARAGUS LRG</t>
  </si>
  <si>
    <t xml:space="preserve">020600425850</t>
  </si>
  <si>
    <t xml:space="preserve">V void</t>
  </si>
  <si>
    <t xml:space="preserve">PD BRUSSEL SPROUTS 25LBS</t>
  </si>
  <si>
    <t xml:space="preserve">020600427496</t>
  </si>
  <si>
    <t xml:space="preserve">FZ CKE CARROT HIGH 14SL</t>
  </si>
  <si>
    <t xml:space="preserve">760695025947</t>
  </si>
  <si>
    <t xml:space="preserve">FZ PIE KEY LIME 12SLIC</t>
  </si>
  <si>
    <t xml:space="preserve">760695018086</t>
  </si>
  <si>
    <t xml:space="preserve">FZ CKE LIMONCELLO 14SL</t>
  </si>
  <si>
    <t xml:space="preserve">760695020256</t>
  </si>
  <si>
    <t xml:space="preserve">TURKEY RTC FOIL</t>
  </si>
  <si>
    <t xml:space="preserve">207757523381</t>
  </si>
  <si>
    <t xml:space="preserve">23.38 LB @ $3.96/LB</t>
  </si>
  <si>
    <t xml:space="preserve">DRES KENS BUTRMLK 1GAL</t>
  </si>
  <si>
    <t xml:space="preserve">041335088912</t>
  </si>
  <si>
    <t xml:space="preserve">CHZ RICOTA W SUPRE 3LB</t>
  </si>
  <si>
    <t xml:space="preserve">760695003228</t>
  </si>
  <si>
    <t xml:space="preserve">… ~11 items not legible on scan …</t>
  </si>
  <si>
    <t xml:space="preserve">FZ CHOC TRILOGY 6/5.75</t>
  </si>
  <si>
    <t xml:space="preserve">049578269037</t>
  </si>
  <si>
    <t xml:space="preserve">U · case $76.19/6</t>
  </si>
  <si>
    <t xml:space="preserve">NAB OREO 6CT CKIE 72Z</t>
  </si>
  <si>
    <t xml:space="preserve">044000047030</t>
  </si>
  <si>
    <t xml:space="preserve">NAB OREO 6CT CKIE (coupon)</t>
  </si>
  <si>
    <t xml:space="preserve">112520</t>
  </si>
  <si>
    <t xml:space="preserve">discount</t>
  </si>
  <si>
    <t xml:space="preserve">BTR CABOT SALT SLD 1LB</t>
  </si>
  <si>
    <t xml:space="preserve">078354636374</t>
  </si>
  <si>
    <t xml:space="preserve">C · 1cs/36u</t>
  </si>
  <si>
    <t xml:space="preserve">WHIP CRM JF NONDRY 14Z</t>
  </si>
  <si>
    <t xml:space="preserve">760695003624</t>
  </si>
  <si>
    <t xml:space="preserve">Printed receipt total (from scan)</t>
  </si>
  <si>
    <t xml:space="preserve">C16 I13372 OP289802  07-22-26 09:28</t>
  </si>
  <si>
    <t xml:space="preserve">CHASE VISA  ·  Approval 05104I  ·  Ref 0448</t>
  </si>
  <si>
    <t xml:space="preserve">Total Units Entered 39 · Cases 14 · Items Rung Up 53 · Weighed Goods 819.35 lb · Units Count 120 · Subtotal $3,524.35</t>
  </si>
  <si>
    <t xml:space="preserve">Note: Source: Scan_0004 (head+middle) + Scan_0005 (tail). Scan_0003 &amp; rd8602 are duplicate captures (removed). 53 items on receipt; ~43 legible, a dairy/bacon section may be partially missing.</t>
  </si>
  <si>
    <t xml:space="preserve">FZ EDAMAME IN POD 20/1LB</t>
  </si>
  <si>
    <t xml:space="preserve">760695024964</t>
  </si>
  <si>
    <t xml:space="preserve">FZ MUKIMAME JF 2LB</t>
  </si>
  <si>
    <t xml:space="preserve">760695019199</t>
  </si>
  <si>
    <t xml:space="preserve">PD CARROT STICKS 5LB</t>
  </si>
  <si>
    <t xml:space="preserve">020600437105</t>
  </si>
  <si>
    <t xml:space="preserve">2X U @ $13.61</t>
  </si>
  <si>
    <t xml:space="preserve">PD ORANGE BELL BAG 5LB</t>
  </si>
  <si>
    <t xml:space="preserve">699058000607</t>
  </si>
  <si>
    <t xml:space="preserve">PD YELLOW BELL BAG 5LB</t>
  </si>
  <si>
    <t xml:space="preserve">684924041143</t>
  </si>
  <si>
    <t xml:space="preserve">PD BABY ARUGULA BW 3LB</t>
  </si>
  <si>
    <t xml:space="preserve">611123540009</t>
  </si>
  <si>
    <t xml:space="preserve">PD CILANTRO BAG</t>
  </si>
  <si>
    <t xml:space="preserve">030223014560</t>
  </si>
  <si>
    <t xml:space="preserve">PD ORANGE BINS</t>
  </si>
  <si>
    <t xml:space="preserve">096704001375</t>
  </si>
  <si>
    <t xml:space="preserve">PD ICELES SCALLION 4/4#</t>
  </si>
  <si>
    <t xml:space="preserve">850023090126</t>
  </si>
  <si>
    <t xml:space="preserve">PD BLUEBERY 18OZ</t>
  </si>
  <si>
    <t xml:space="preserve">812092030038</t>
  </si>
  <si>
    <t xml:space="preserve">715756200023</t>
  </si>
  <si>
    <t xml:space="preserve">PD PEPPER JALAPENO</t>
  </si>
  <si>
    <t xml:space="preserve">732966081136</t>
  </si>
  <si>
    <t xml:space="preserve">PD 12X6 MINI CUCS 1LB</t>
  </si>
  <si>
    <t xml:space="preserve">699058610622</t>
  </si>
  <si>
    <t xml:space="preserve">PD PARSLEY ITL 6CT</t>
  </si>
  <si>
    <t xml:space="preserve">020600426987</t>
  </si>
  <si>
    <t xml:space="preserve">PD SAGE</t>
  </si>
  <si>
    <t xml:space="preserve">854342004109</t>
  </si>
  <si>
    <t xml:space="preserve">PD SPINACH 4/2.5</t>
  </si>
  <si>
    <t xml:space="preserve">030223011507</t>
  </si>
  <si>
    <t xml:space="preserve">PD APL GRANY</t>
  </si>
  <si>
    <t xml:space="preserve">812333012298</t>
  </si>
  <si>
    <t xml:space="preserve">PD BEETS LOOSE 25# CASE</t>
  </si>
  <si>
    <t xml:space="preserve">020600425782</t>
  </si>
  <si>
    <t xml:space="preserve">PD PEPP RED FCY15 LB</t>
  </si>
  <si>
    <t xml:space="preserve">020600427144</t>
  </si>
  <si>
    <t xml:space="preserve">PD AVOCADO HASS</t>
  </si>
  <si>
    <t xml:space="preserve">020600426161</t>
  </si>
  <si>
    <t xml:space="preserve">… possible gap (dairy section) …</t>
  </si>
  <si>
    <t xml:space="preserve">PD PLD GARLIC 675 BAG</t>
  </si>
  <si>
    <t xml:space="preserve">827468000027</t>
  </si>
  <si>
    <t xml:space="preserve">BCN LEIDY 1822 15# HW</t>
  </si>
  <si>
    <t xml:space="preserve">033431000233</t>
  </si>
  <si>
    <t xml:space="preserve">CHZ SMOKED GOUDA R/W</t>
  </si>
  <si>
    <t xml:space="preserve">206588706048</t>
  </si>
  <si>
    <t xml:space="preserve">6.04 LB @ $4.13/LB</t>
  </si>
  <si>
    <t xml:space="preserve">206588706222</t>
  </si>
  <si>
    <t xml:space="preserve">6.22 LB @ $4.13/LB</t>
  </si>
  <si>
    <t xml:space="preserve">C13 I26544 OP279671  08-04-26 15:35</t>
  </si>
  <si>
    <t xml:space="preserve">(cut off on scan)</t>
  </si>
  <si>
    <t xml:space="preserve">(totals cut off on scan)</t>
  </si>
  <si>
    <t xml:space="preserve">Note: Source: Scan_0005 (rd8602 is a duplicate capture, removed). Head of receipt only — bottom (remaining items + totals) cut off on the scan.</t>
  </si>
  <si>
    <t xml:space="preserve">A&amp;E APPLE JUICE 16Z</t>
  </si>
  <si>
    <t xml:space="preserve">076301580015</t>
  </si>
  <si>
    <t xml:space="preserve">case $15.00 / 12</t>
  </si>
  <si>
    <t xml:space="preserve">HERSH KISSES LG BG 35.8Z</t>
  </si>
  <si>
    <t xml:space="preserve">034000134809</t>
  </si>
  <si>
    <t xml:space="preserve">U(TA)</t>
  </si>
  <si>
    <t xml:space="preserve">MAYO KENS PREMIUM 1GAL</t>
  </si>
  <si>
    <t xml:space="preserve">041335091110</t>
  </si>
  <si>
    <t xml:space="preserve">SAUC MLD WING FRNK GAL</t>
  </si>
  <si>
    <t xml:space="preserve">041500012216</t>
  </si>
  <si>
    <t xml:space="preserve">OIL GREEK XTRA VGN 3LTR</t>
  </si>
  <si>
    <t xml:space="preserve">706950123744</t>
  </si>
  <si>
    <t xml:space="preserve">YEAST RED STAR DRY 2LB</t>
  </si>
  <si>
    <t xml:space="preserve">117929157002</t>
  </si>
  <si>
    <t xml:space="preserve">BALSAMIC GLZ FIG 12.9Z</t>
  </si>
  <si>
    <t xml:space="preserve">760695019335</t>
  </si>
  <si>
    <t xml:space="preserve">YORK PEPRP CHNGMKR .48Z</t>
  </si>
  <si>
    <t xml:space="preserve">034000066421</t>
  </si>
  <si>
    <t xml:space="preserve">U(TA) case $210.56/175</t>
  </si>
  <si>
    <t xml:space="preserve">… remaining items cut off on scan …</t>
  </si>
  <si>
    <t xml:space="preserve">C18 I4710 OP279671  07-08-26 07:42</t>
  </si>
  <si>
    <t xml:space="preserve">(not legible)</t>
  </si>
  <si>
    <t xml:space="preserve">Total Units Count 224 · Items Rung Up 92 · Subtotal $3,986.59 (RECALLED ref $2,932.40, #1, 44 items)</t>
  </si>
  <si>
    <t xml:space="preserve">Note: Source: Scan_0006. 92-item receipt; only ~17 lines legible (head + tail). Most of the middle is not captured.</t>
  </si>
  <si>
    <t xml:space="preserve">PD TOMATO GRAPE PINT</t>
  </si>
  <si>
    <t xml:space="preserve">091234000096</t>
  </si>
  <si>
    <t xml:space="preserve">C</t>
  </si>
  <si>
    <t xml:space="preserve">… middle not captured on scan …</t>
  </si>
  <si>
    <t xml:space="preserve">PD PEPPER GREEN XL JBO</t>
  </si>
  <si>
    <t xml:space="preserve">020600427045</t>
  </si>
  <si>
    <t xml:space="preserve">PD PLD GARLIC 6/5 BAG</t>
  </si>
  <si>
    <t xml:space="preserve">680444103453</t>
  </si>
  <si>
    <t xml:space="preserve">PD CABBAGE BOX 6-14CT</t>
  </si>
  <si>
    <t xml:space="preserve">020600426260</t>
  </si>
  <si>
    <t xml:space="preserve">PD CARROT 5LB BAG</t>
  </si>
  <si>
    <t xml:space="preserve">020600434067</t>
  </si>
  <si>
    <t xml:space="preserve">206588705775</t>
  </si>
  <si>
    <t xml:space="preserve">5.77 LB @ $3.94/LB</t>
  </si>
  <si>
    <t xml:space="preserve">206588706390</t>
  </si>
  <si>
    <t xml:space="preserve">6.39 LB @ $3.94/LB</t>
  </si>
  <si>
    <t xml:space="preserve">206588705997</t>
  </si>
  <si>
    <t xml:space="preserve">5.99 LB @ $3.94/LB</t>
  </si>
  <si>
    <t xml:space="preserve">C15 I9681 OP247304  07-22-26 09:31</t>
  </si>
  <si>
    <t xml:space="preserve">(grand total cut off on scan)</t>
  </si>
  <si>
    <t xml:space="preserve">Units Entered 26 · Cases 9 · Items Rung Up 35 · RW Items 18 · Units Count 76</t>
  </si>
  <si>
    <t xml:space="preserve">Note: Source: Scan_0009 (head + tail both captured). Grand-total dollar line cut off. Beef lines carry 50% discounts approved by #273903 (Susan).</t>
  </si>
  <si>
    <t xml:space="preserve">207757524661</t>
  </si>
  <si>
    <t xml:space="preserve">24.66 LB @ $3.96/LB</t>
  </si>
  <si>
    <t xml:space="preserve">PEPPERNI 12.5# MAM</t>
  </si>
  <si>
    <t xml:space="preserve">760695014293</t>
  </si>
  <si>
    <t xml:space="preserve">PD TOMATO ROMA XL 25LB</t>
  </si>
  <si>
    <t xml:space="preserve">020600427625</t>
  </si>
  <si>
    <t xml:space="preserve">PD TOMATO 5X6 25LB</t>
  </si>
  <si>
    <t xml:space="preserve">020600427601</t>
  </si>
  <si>
    <t xml:space="preserve">CHIC BRS BNL HALAL R/W</t>
  </si>
  <si>
    <t xml:space="preserve">207950140002</t>
  </si>
  <si>
    <t xml:space="preserve">40 LB @ $1.78/LB</t>
  </si>
  <si>
    <t xml:space="preserve">40 LB @ $1.95/LB</t>
  </si>
  <si>
    <t xml:space="preserve">WRAP TOMATO 12CT</t>
  </si>
  <si>
    <t xml:space="preserve">760695007073</t>
  </si>
  <si>
    <t xml:space="preserve">WRAP GARLIC HERB 12CT</t>
  </si>
  <si>
    <t xml:space="preserve">760695007042</t>
  </si>
  <si>
    <t xml:space="preserve">207928159203</t>
  </si>
  <si>
    <t xml:space="preserve">59.2 LB @ $5.09/LB</t>
  </si>
  <si>
    <t xml:space="preserve">50.00% (appr #273903 Susan)</t>
  </si>
  <si>
    <t xml:space="preserve">207928160605</t>
  </si>
  <si>
    <t xml:space="preserve">60.6 LB @ $4.89/LB</t>
  </si>
  <si>
    <t xml:space="preserve">207928160209</t>
  </si>
  <si>
    <t xml:space="preserve">60.2 LB @ $4.89/LB</t>
  </si>
  <si>
    <t xml:space="preserve">207928159005</t>
  </si>
  <si>
    <t xml:space="preserve">59.0 LB @ $4.89/LB</t>
  </si>
  <si>
    <t xml:space="preserve">207928160001</t>
  </si>
  <si>
    <t xml:space="preserve">60.0 LB @ $4.89/LB</t>
  </si>
  <si>
    <t xml:space="preserve">207928159104</t>
  </si>
  <si>
    <t xml:space="preserve">59.1 LB @ $4.89/LB</t>
  </si>
  <si>
    <t xml:space="preserve">C15 I968x OP???  07-22-26 09:36</t>
  </si>
  <si>
    <t xml:space="preserve">CHASE VISA  ·  Approval 019411  ·  Ref 0448</t>
  </si>
  <si>
    <t xml:space="preserve">Total Units Count 113 · Items Rung Up 46 · Subtotal $5,217.23 (RECALLED ref $2,541.63, #1, 35 items)</t>
  </si>
  <si>
    <t xml:space="preserve">Note: Source: Scan_0010 (head + tail). Middle not captured. Invoice number partly illegible.</t>
  </si>
  <si>
    <t xml:space="preserve">EZ POKE TUNA 10LB</t>
  </si>
  <si>
    <t xml:space="preserve">(illegible)</t>
  </si>
  <si>
    <t xml:space="preserve">OAT MILK ORIGINAL 32Z</t>
  </si>
  <si>
    <t xml:space="preserve">044100156182</t>
  </si>
  <si>
    <t xml:space="preserve">CREAM JI HALF&amp;HALF 32OZ</t>
  </si>
  <si>
    <t xml:space="preserve">760695019786</t>
  </si>
  <si>
    <t xml:space="preserve">C · 1cs/12u</t>
  </si>
  <si>
    <t xml:space="preserve">MCHDSH SANI 1UTEMP 5GAL</t>
  </si>
  <si>
    <t xml:space="preserve">765574117225</t>
  </si>
  <si>
    <t xml:space="preserve">(TA)</t>
  </si>
  <si>
    <t xml:space="preserve">MCHDSH DETER LUTMP 5GAL</t>
  </si>
  <si>
    <t xml:space="preserve">765574115498</t>
  </si>
  <si>
    <t xml:space="preserve">FRSHBRNZIN 16-800 R/W</t>
  </si>
  <si>
    <t xml:space="preserve">207788022051</t>
  </si>
  <si>
    <t xml:space="preserve">22.05 LB @ $7.59/LB</t>
  </si>
  <si>
    <t xml:space="preserve">EGGS XL LOOSE BWN 15DZ</t>
  </si>
  <si>
    <t xml:space="preserve">522892</t>
  </si>
  <si>
    <t xml:space="preserve">case $16.89 / 15</t>
  </si>
  <si>
    <t xml:space="preserve">CHX GV GRILL HALAL 10LBS</t>
  </si>
  <si>
    <t xml:space="preserve">760695345533</t>
  </si>
  <si>
    <t xml:space="preserve">TULK PESTO FRESH 32Z</t>
  </si>
  <si>
    <t xml:space="preserve">070607500203</t>
  </si>
  <si>
    <t xml:space="preserve">C13 I23708 OP280210  07-21-26 14:59</t>
  </si>
  <si>
    <t xml:space="preserve">(not captured)</t>
  </si>
  <si>
    <t xml:space="preserve">(totals not captured)</t>
  </si>
  <si>
    <t xml:space="preserve">Note: Source: Scan_0012. Top (store header) and bottom (totals/payment) both cut off. Note the large #25 container line that was rung then voided.</t>
  </si>
  <si>
    <t xml:space="preserve">UTILITY TONG 7IN</t>
  </si>
  <si>
    <t xml:space="preserve">812944008987</t>
  </si>
  <si>
    <t xml:space="preserve">LEX PAN 1/9X4</t>
  </si>
  <si>
    <t xml:space="preserve">099511325603</t>
  </si>
  <si>
    <t xml:space="preserve">C(TA) · 1cs/6u</t>
  </si>
  <si>
    <t xml:space="preserve">#25 CONT REC BASE</t>
  </si>
  <si>
    <t xml:space="preserve">051389410256</t>
  </si>
  <si>
    <t xml:space="preserve">C(TA) · 1cs/220u</t>
  </si>
  <si>
    <t xml:space="preserve">VC void · -1cs/-220u</t>
  </si>
  <si>
    <t xml:space="preserve">… bottom cut off on scan …</t>
  </si>
  <si>
    <t xml:space="preserve">C15 I9588 OP247304  07-21-26 14:56</t>
  </si>
  <si>
    <t xml:space="preserve">Note: Source: Scan_0008 (right column). Head of receipt only — bottom cut off.</t>
  </si>
  <si>
    <t xml:space="preserve">PD ONION RED 20/2</t>
  </si>
  <si>
    <t xml:space="preserve">020600425652</t>
  </si>
  <si>
    <t xml:space="preserve">LINER 40G 40x46 CLR</t>
  </si>
  <si>
    <t xml:space="preserve">760695006359</t>
  </si>
  <si>
    <t xml:space="preserve">(TA) case $67.44/100</t>
  </si>
  <si>
    <t xml:space="preserve">A&amp;W ROOT BEER CLUB 12Z</t>
  </si>
  <si>
    <t xml:space="preserve">078000052138</t>
  </si>
  <si>
    <t xml:space="preserve">(TA) case $13.83/24</t>
  </si>
  <si>
    <t xml:space="preserve">BOTTLE DEPOSIT 24CT</t>
  </si>
  <si>
    <t xml:space="preserve">1090</t>
  </si>
  <si>
    <t xml:space="preserve">S · $1.20/24</t>
  </si>
  <si>
    <t xml:space="preserve">VEG PEAS 4 SV LQ #10</t>
  </si>
  <si>
    <t xml:space="preserve">760695009565</t>
  </si>
  <si>
    <t xml:space="preserve">BEAN KIDN D/RED CQ #10</t>
  </si>
  <si>
    <t xml:space="preserve">760695014743</t>
  </si>
  <si>
    <t xml:space="preserve">BEAN BAKED B&amp;M X #10</t>
  </si>
  <si>
    <t xml:space="preserve">047800330494</t>
  </si>
  <si>
    <t xml:space="preserve">PIZZABOX 14 BR B CORR</t>
  </si>
  <si>
    <t xml:space="preserve">584975</t>
  </si>
  <si>
    <t xml:space="preserve">(TA) case $19.29/50</t>
  </si>
  <si>
    <t xml:space="preserve">PIZZABOX 10 BR B CORR</t>
  </si>
  <si>
    <t xml:space="preserve">584951</t>
  </si>
  <si>
    <t xml:space="preserve">(TA) case $13.43/50</t>
  </si>
  <si>
    <t xml:space="preserve">… remaining items + totals cut off …</t>
  </si>
  <si>
    <t xml:space="preserve">C15 I11777 OP289802  08-04-26 15:34</t>
  </si>
  <si>
    <t xml:space="preserve">Note: Source: Scan_0007 (right column) — printed UPSIDE-DOWN on the scan, so this transcription is LOW CONFIDENCE; verify against the original.</t>
  </si>
  <si>
    <t xml:space="preserve">TWL HARDWND WHI 12/350</t>
  </si>
  <si>
    <t xml:space="preserve">061328017958</t>
  </si>
  <si>
    <t xml:space="preserve">(TA) case $28.96/12</t>
  </si>
  <si>
    <t xml:space="preserve">CONT #2 10 60 KRAFT</t>
  </si>
  <si>
    <t xml:space="preserve">760695029587</t>
  </si>
  <si>
    <t xml:space="preserve">(TA) case $33.96/200</t>
  </si>
  <si>
    <t xml:space="preserve">REG ROLL 3"X200 1P THERM</t>
  </si>
  <si>
    <t xml:space="preserve">760695337057</t>
  </si>
  <si>
    <t xml:space="preserve">UC(TA) case $53.42/10</t>
  </si>
  <si>
    <t xml:space="preserve">4 EVENT DIGI TIMER 5839N</t>
  </si>
  <si>
    <t xml:space="preserve">077840288858</t>
  </si>
  <si>
    <t xml:space="preserve">PL FORK XHVY BLK SB</t>
  </si>
  <si>
    <t xml:space="preserve">760695012459</t>
  </si>
  <si>
    <t xml:space="preserve">C(TA) case $33.63/200</t>
  </si>
  <si>
    <t xml:space="preserve">REDBULL SUD LIME 8.4Z</t>
  </si>
  <si>
    <t xml:space="preserve">611269003655</t>
  </si>
  <si>
    <t xml:space="preserve">(TA) case $40.09/24</t>
  </si>
  <si>
    <t xml:space="preserve">REDBULL WHT PEACH 8.4Z</t>
  </si>
  <si>
    <t xml:space="preserve">611269002690</t>
  </si>
  <si>
    <t xml:space="preserve">(TA) case $41.15/24</t>
  </si>
  <si>
    <t xml:space="preserve">SAUC KNTUKY BOURBN GAL</t>
  </si>
  <si>
    <t xml:space="preserve">041500968972</t>
  </si>
  <si>
    <t xml:space="preserve">DRES KENS CHIP MAY 1GAL</t>
  </si>
  <si>
    <t xml:space="preserve">041335326205</t>
  </si>
  <si>
    <t xml:space="preserve">NUT PECN LRG PC CU 5LB</t>
  </si>
  <si>
    <t xml:space="preserve">760695035458</t>
  </si>
  <si>
    <t xml:space="preserve">SUNFLOWR RW CU 4.50LB</t>
  </si>
  <si>
    <t xml:space="preserve">… rest not captured …</t>
  </si>
  <si>
    <t xml:space="preserve">(no transaction line captured)</t>
  </si>
  <si>
    <t xml:space="preserve">DEBIT  ·  Approval 098842  ·  Ref 4762</t>
  </si>
  <si>
    <t xml:space="preserve">Items Rung Up 25 · Units Count 40 · Subtotal $754.64 · NY Tax $37.60 · Total $792.24</t>
  </si>
  <si>
    <t xml:space="preserve">Note: Source: Scan_0007 (left column). Tail of a supplies receipt; header/business and earlier items not captured, so it can't be tied to a specific store account. Likely one of the two businesses.</t>
  </si>
  <si>
    <t xml:space="preserve">LINER 33G 25X10X59</t>
  </si>
  <si>
    <t xml:space="preserve">760695039814</t>
  </si>
  <si>
    <t xml:space="preserve">(TA) case $32.58/100</t>
  </si>
  <si>
    <t xml:space="preserve">NAPKINS 3PLY CHALET</t>
  </si>
  <si>
    <t xml:space="preserve">061328071219</t>
  </si>
  <si>
    <t xml:space="preserve">(TA) case $62.73/164</t>
  </si>
  <si>
    <t xml:space="preserve">MARGARITA FORTU GAL</t>
  </si>
  <si>
    <t xml:space="preserve">070491012820</t>
  </si>
  <si>
    <t xml:space="preserve">C(TA) · 1cs/4u</t>
  </si>
  <si>
    <t xml:space="preserve">PEPPERONCINI SPRMO 1GAL</t>
  </si>
  <si>
    <t xml:space="preserve">760695006090</t>
  </si>
  <si>
    <t xml:space="preserve">KETCHUP CHEFS QLTY #10</t>
  </si>
  <si>
    <t xml:space="preserve">760695003099</t>
  </si>
  <si>
    <t xml:space="preserve">VW ENERGY 20Z</t>
  </si>
  <si>
    <t xml:space="preserve">786162101068</t>
  </si>
  <si>
    <t xml:space="preserve">(TA) case $16.70/12</t>
  </si>
  <si>
    <t xml:space="preserve">FILM 12X2000 SUNSET</t>
  </si>
  <si>
    <t xml:space="preserve">760695010509</t>
  </si>
  <si>
    <t xml:space="preserve">FILM 18X2000 SUNSET</t>
  </si>
  <si>
    <t xml:space="preserve">760695010516</t>
  </si>
  <si>
    <t xml:space="preserve">CROUTON-DELI STYL 4/2.5#</t>
  </si>
  <si>
    <t xml:space="preserve">760695022540</t>
  </si>
  <si>
    <t xml:space="preserve">case $32.39/4</t>
  </si>
  <si>
    <t xml:space="preserve">7-UP 12Z</t>
  </si>
  <si>
    <t xml:space="preserve">078000011050</t>
  </si>
  <si>
    <t xml:space="preserve">(TA) case $12.90/24</t>
  </si>
  <si>
    <t xml:space="preserve">… earlier items not captured …</t>
  </si>
  <si>
    <t xml:space="preserve">US DEBIT  ·  Approval 766037  ·  Ref 3089</t>
  </si>
  <si>
    <t xml:space="preserve">Items Rung Up 23 · Units Count 55 · Subtotal $768.64 · NY Tax $15.55 · Total $784.19</t>
  </si>
  <si>
    <t xml:space="preserve">Note: Source: Scan_0008 (left column). Tail of a supplies/grocery receipt; header not captured.</t>
  </si>
  <si>
    <t xml:space="preserve">CRUTS PLAIN BUTTER 12/32</t>
  </si>
  <si>
    <t xml:space="preserve">894537000172</t>
  </si>
  <si>
    <t xml:space="preserve">case $13.77/12</t>
  </si>
  <si>
    <t xml:space="preserve">CONT #2 TO GO KRAFT</t>
  </si>
  <si>
    <t xml:space="preserve">(TA) case $33.99/200</t>
  </si>
  <si>
    <t xml:space="preserve">HONEY LT AMBER CU 5LB</t>
  </si>
  <si>
    <t xml:space="preserve">760695008230</t>
  </si>
  <si>
    <t xml:space="preserve">SAUC MED WING FRNK GAL</t>
  </si>
  <si>
    <t xml:space="preserve">HUNT TOM KETCHUP #10</t>
  </si>
  <si>
    <t xml:space="preserve">027000382516</t>
  </si>
  <si>
    <t xml:space="preserve">UTZ JMB VARIETY BX 40.75Z</t>
  </si>
  <si>
    <t xml:space="preserve">041780021786</t>
  </si>
  <si>
    <t xml:space="preserve">case $18.29/42</t>
  </si>
  <si>
    <t xml:space="preserve">PS SPAG #5 BAR 2/10LB</t>
  </si>
  <si>
    <t xml:space="preserve">076808039122</t>
  </si>
  <si>
    <t xml:space="preserve">case $25.62/2</t>
  </si>
  <si>
    <t xml:space="preserve">MIX CHOC BRWNIE GM 6/5LB</t>
  </si>
  <si>
    <t xml:space="preserve">016000113121</t>
  </si>
  <si>
    <t xml:space="preserve">Units Entered 22 · Cases 9 · Items Rung Up 31 · Units Count 77 (grand total cut off)</t>
  </si>
  <si>
    <t xml:space="preserve">Note: Source: Scan_0001 (produce + smallwares). No transaction header or grand total captured, so it can't be matched to a store account or de-duplicated with certainty.</t>
  </si>
  <si>
    <t xml:space="preserve">PD LIME JUICE 1QT</t>
  </si>
  <si>
    <t xml:space="preserve">725341444435</t>
  </si>
  <si>
    <t xml:space="preserve">VU void</t>
  </si>
  <si>
    <t xml:space="preserve">628792010788</t>
  </si>
  <si>
    <t xml:space="preserve">628792010771</t>
  </si>
  <si>
    <t xml:space="preserve">PD CHERRY 6/3#</t>
  </si>
  <si>
    <t xml:space="preserve">999495700710</t>
  </si>
  <si>
    <t xml:space="preserve">020600439062</t>
  </si>
  <si>
    <t xml:space="preserve">033383651019</t>
  </si>
  <si>
    <t xml:space="preserve">CHZ ASIAGO SHRD SI 4/5LB</t>
  </si>
  <si>
    <t xml:space="preserve">760695669813</t>
  </si>
  <si>
    <t xml:space="preserve">SPOON S/S SOLID 13IN</t>
  </si>
  <si>
    <t xml:space="preserve">800960183269</t>
  </si>
  <si>
    <t xml:space="preserve">TONG SPRING 9IN HD</t>
  </si>
  <si>
    <t xml:space="preserve">812944002022</t>
  </si>
  <si>
    <t xml:space="preserve">SUGAR CADDY BLACK</t>
  </si>
  <si>
    <t xml:space="preserve">789313227518</t>
  </si>
  <si>
    <t xml:space="preserve">TIMER FLASHING/VIB 5879</t>
  </si>
  <si>
    <t xml:space="preserve">077784030783</t>
  </si>
  <si>
    <t xml:space="preserve">TUMBLERS 16Z CLEAR 1DZ</t>
  </si>
  <si>
    <t xml:space="preserve">099511340408</t>
  </si>
  <si>
    <t xml:space="preserve">DAWN 5GL DISH DTGT</t>
  </si>
  <si>
    <t xml:space="preserve">037000123101</t>
  </si>
  <si>
    <t xml:space="preserve">GLOVE NITRL MED BLK</t>
  </si>
  <si>
    <t xml:space="preserve">760695036417</t>
  </si>
  <si>
    <t xml:space="preserve">C(TA) · 1cs/10u</t>
  </si>
  <si>
    <t xml:space="preserve">GLOVE NITRL XLG PF BLACK</t>
  </si>
  <si>
    <t xml:space="preserve">760695034840</t>
  </si>
  <si>
    <t xml:space="preserve">SP GINGER GR CQ 1LB</t>
  </si>
  <si>
    <t xml:space="preserve">760695573264</t>
  </si>
  <si>
    <t xml:space="preserve">SP GARLIC GRANULAT 7LB</t>
  </si>
  <si>
    <t xml:space="preserve">760695573202</t>
  </si>
  <si>
    <t xml:space="preserve">32Z RMLESS BWL NSF 8PK</t>
  </si>
  <si>
    <t xml:space="preserve">789313999958</t>
  </si>
  <si>
    <t xml:space="preserve">(TA) case $26.76/8</t>
  </si>
  <si>
    <t xml:space="preserve">10 1/4 DNR PLTE 8PK</t>
  </si>
  <si>
    <t xml:space="preserve">789313999651</t>
  </si>
  <si>
    <t xml:space="preserve">(TA) case $33.92/8</t>
  </si>
  <si>
    <t xml:space="preserve">(no totals captured)</t>
  </si>
  <si>
    <t xml:space="preserve">Note: Source: Scan_0011 (two columns, middle of a supplies-heavy receipt). No header or totals captured. Includes a Mayo void and a Vinegar void.</t>
  </si>
  <si>
    <t xml:space="preserve">SP TACO SEASONING 5#</t>
  </si>
  <si>
    <t xml:space="preserve">760695008506</t>
  </si>
  <si>
    <t xml:space="preserve">DISINFEC DIAMOND 4/1GAL</t>
  </si>
  <si>
    <t xml:space="preserve">765574071534</t>
  </si>
  <si>
    <t xml:space="preserve">SP WHT GR PEP CQ 5LB</t>
  </si>
  <si>
    <t xml:space="preserve">760695573615</t>
  </si>
  <si>
    <t xml:space="preserve">SP LEM&amp;PEPP SEASON 28Z</t>
  </si>
  <si>
    <t xml:space="preserve">052100010793</t>
  </si>
  <si>
    <t xml:space="preserve">OLV CASTELVERTANO 9LB</t>
  </si>
  <si>
    <t xml:space="preserve">760695020751</t>
  </si>
  <si>
    <t xml:space="preserve">2X VU void (appr #280195 Sam)</t>
  </si>
  <si>
    <t xml:space="preserve">VINEGAR BALSMIC CQ 5LTR</t>
  </si>
  <si>
    <t xml:space="preserve">760695554027</t>
  </si>
  <si>
    <t xml:space="preserve">U · case $23.21/2</t>
  </si>
  <si>
    <t xml:space="preserve">NUT PUMPKIN SD CQ 4.5LB</t>
  </si>
  <si>
    <t xml:space="preserve">760695035502</t>
  </si>
  <si>
    <t xml:space="preserve">NUT PECAN HALVE CQ 3LB</t>
  </si>
  <si>
    <t xml:space="preserve">760695035465</t>
  </si>
  <si>
    <t xml:space="preserve">DR SWISS PEELER 1EA</t>
  </si>
  <si>
    <t xml:space="preserve">092187915000</t>
  </si>
  <si>
    <t xml:space="preserve">FRT CHRY W/STEM CQ 64Z</t>
  </si>
  <si>
    <t xml:space="preserve">760695002825</t>
  </si>
  <si>
    <t xml:space="preserve">REDBULL VAN BERRY 8.4Z</t>
  </si>
  <si>
    <t xml:space="preserve">611269001877</t>
  </si>
  <si>
    <t xml:space="preserve">(TA) case $40.61/24</t>
  </si>
  <si>
    <t xml:space="preserve">ANDES CREME DE MEN 1CT</t>
  </si>
  <si>
    <t xml:space="preserve">041186000866</t>
  </si>
  <si>
    <t xml:space="preserve">U(TA) case $108.03/240</t>
  </si>
  <si>
    <t xml:space="preserve">LID FR #10&amp;25 REC CONTR</t>
  </si>
  <si>
    <t xml:space="preserve">051389410003</t>
  </si>
  <si>
    <t xml:space="preserve">CALYPSO ISLAND WAV 16Z</t>
  </si>
  <si>
    <t xml:space="preserve">079581444053</t>
  </si>
  <si>
    <t xml:space="preserve">(TA) case $17.88/12</t>
  </si>
  <si>
    <t xml:space="preserve">TWL HARDWND BRN 12</t>
  </si>
  <si>
    <t xml:space="preserve">061328017750</t>
  </si>
  <si>
    <t xml:space="preserve">(TA) case $24.24/12</t>
  </si>
  <si>
    <t xml:space="preserve">FBR HNG PF 9X9</t>
  </si>
  <si>
    <t xml:space="preserve">760695338276</t>
  </si>
  <si>
    <t xml:space="preserve">(TA) case $31.99/150</t>
  </si>
  <si>
    <t xml:space="preserve">CAM PRO MINI 8PK</t>
  </si>
  <si>
    <t xml:space="preserve">099511282692</t>
  </si>
  <si>
    <t xml:space="preserve">COCONUT POWDR-UNSW 4#</t>
  </si>
  <si>
    <t xml:space="preserve">714760842519</t>
  </si>
  <si>
    <t xml:space="preserve">… no header/totals captured …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</si>
</sst>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4E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A5A2B"/>
      <name val="Arial"/>
      <family val="0"/>
      <charset val="1"/>
    </font>
    <font>
      <i val="true"/>
      <sz val="9"/>
      <color rgb="FFB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4E"/>
        <bgColor rgb="FF404040"/>
      </patternFill>
    </fill>
    <fill>
      <patternFill patternType="solid">
        <fgColor rgb="FFEDEDED"/>
        <bgColor rgb="FFFCE8D8"/>
      </patternFill>
    </fill>
    <fill>
      <patternFill patternType="solid">
        <fgColor rgb="FFF2D9D9"/>
        <bgColor rgb="FFFCE8D8"/>
      </patternFill>
    </fill>
    <fill>
      <patternFill patternType="solid">
        <fgColor rgb="FFD9E6E6"/>
        <bgColor rgb="FFEDEDED"/>
      </patternFill>
    </fill>
    <fill>
      <patternFill patternType="solid">
        <fgColor rgb="FFFCE8D8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A5A2B"/>
      <rgbColor rgb="FF800080"/>
      <rgbColor rgb="FF008080"/>
      <rgbColor rgb="FFBFBFBF"/>
      <rgbColor rgb="FF808080"/>
      <rgbColor rgb="FF9999FF"/>
      <rgbColor rgb="FF993366"/>
      <rgbColor rgb="FFFCE8D8"/>
      <rgbColor rgb="FFD9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2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32.8" hidden="false" customHeight="true" outlineLevel="0" collapsed="false">
      <c r="A3" s="2" t="s">
        <v>1</v>
      </c>
      <c r="B3" s="2"/>
      <c r="C3" s="2"/>
      <c r="D3" s="2"/>
      <c r="E3" s="2"/>
    </row>
    <row r="5" customFormat="false" ht="26.8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customFormat="false" ht="15" hidden="false" customHeight="false" outlineLevel="0" collapsed="false">
      <c r="A6" s="4" t="s">
        <v>7</v>
      </c>
      <c r="B6" s="4" t="s">
        <v>8</v>
      </c>
      <c r="C6" s="5" t="s">
        <v>9</v>
      </c>
      <c r="D6" s="6" t="n">
        <f aca="false">'Mad Moose 0806'!E39</f>
        <v>2084.47</v>
      </c>
      <c r="E6" s="5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5" t="s">
        <v>13</v>
      </c>
      <c r="D7" s="6" t="n">
        <f aca="false">'Moose Loose 0818'!E40</f>
        <v>507.82</v>
      </c>
      <c r="E7" s="5" t="s">
        <v>10</v>
      </c>
    </row>
    <row r="8" customFormat="false" ht="15" hidden="false" customHeight="false" outlineLevel="0" collapsed="false">
      <c r="A8" s="4" t="s">
        <v>14</v>
      </c>
      <c r="B8" s="4" t="s">
        <v>8</v>
      </c>
      <c r="C8" s="5" t="s">
        <v>15</v>
      </c>
      <c r="D8" s="6" t="n">
        <f aca="false">'Mad Moose 0815 recall'!E32</f>
        <v>675.46</v>
      </c>
      <c r="E8" s="6" t="n">
        <v>1094.14</v>
      </c>
    </row>
    <row r="9" customFormat="false" ht="15" hidden="false" customHeight="false" outlineLevel="0" collapsed="false">
      <c r="A9" s="4" t="s">
        <v>16</v>
      </c>
      <c r="B9" s="4" t="s">
        <v>12</v>
      </c>
      <c r="C9" s="5" t="s">
        <v>17</v>
      </c>
      <c r="D9" s="6" t="n">
        <f aca="false">'Moose I13372 0722'!E55</f>
        <v>924.23</v>
      </c>
      <c r="E9" s="6" t="n">
        <v>3524.35</v>
      </c>
    </row>
    <row r="10" customFormat="false" ht="15" hidden="false" customHeight="false" outlineLevel="0" collapsed="false">
      <c r="A10" s="4" t="s">
        <v>18</v>
      </c>
      <c r="B10" s="4" t="s">
        <v>12</v>
      </c>
      <c r="C10" s="5" t="s">
        <v>19</v>
      </c>
      <c r="D10" s="6" t="n">
        <f aca="false">'Moose I26544 0804'!E22</f>
        <v>398.71</v>
      </c>
      <c r="E10" s="5" t="s">
        <v>10</v>
      </c>
    </row>
    <row r="11" customFormat="false" ht="15" hidden="false" customHeight="false" outlineLevel="0" collapsed="false">
      <c r="A11" s="4" t="s">
        <v>20</v>
      </c>
      <c r="B11" s="4" t="s">
        <v>12</v>
      </c>
      <c r="C11" s="5" t="s">
        <v>21</v>
      </c>
      <c r="D11" s="6" t="n">
        <f aca="false">'Moose I4710 0708'!E29</f>
        <v>432.48</v>
      </c>
      <c r="E11" s="6" t="n">
        <v>3986.59</v>
      </c>
    </row>
    <row r="12" customFormat="false" ht="15" hidden="false" customHeight="false" outlineLevel="0" collapsed="false">
      <c r="A12" s="4" t="s">
        <v>22</v>
      </c>
      <c r="B12" s="4" t="s">
        <v>8</v>
      </c>
      <c r="C12" s="5" t="s">
        <v>23</v>
      </c>
      <c r="D12" s="6" t="n">
        <f aca="false">'Mad Moose I9681 0722'!E45</f>
        <v>1859.35</v>
      </c>
      <c r="E12" s="5" t="s">
        <v>10</v>
      </c>
    </row>
    <row r="13" customFormat="false" ht="15" hidden="false" customHeight="false" outlineLevel="0" collapsed="false">
      <c r="A13" s="4" t="s">
        <v>24</v>
      </c>
      <c r="B13" s="4" t="s">
        <v>8</v>
      </c>
      <c r="C13" s="5" t="s">
        <v>25</v>
      </c>
      <c r="D13" s="6" t="n">
        <f aca="false">'Mad Moose I968 0722'!E23</f>
        <v>603.27</v>
      </c>
      <c r="E13" s="6" t="n">
        <v>5217.23</v>
      </c>
    </row>
    <row r="14" customFormat="false" ht="15" hidden="false" customHeight="false" outlineLevel="0" collapsed="false">
      <c r="A14" s="4" t="s">
        <v>26</v>
      </c>
      <c r="B14" s="4" t="s">
        <v>8</v>
      </c>
      <c r="C14" s="5" t="s">
        <v>27</v>
      </c>
      <c r="D14" s="6" t="n">
        <f aca="false">'Mad Moose I23708 0721'!E28</f>
        <v>57.22</v>
      </c>
      <c r="E14" s="5" t="s">
        <v>10</v>
      </c>
    </row>
    <row r="15" customFormat="false" ht="15" hidden="false" customHeight="false" outlineLevel="0" collapsed="false">
      <c r="A15" s="4" t="s">
        <v>28</v>
      </c>
      <c r="B15" s="4" t="s">
        <v>12</v>
      </c>
      <c r="C15" s="5" t="s">
        <v>29</v>
      </c>
      <c r="D15" s="6" t="n">
        <f aca="false">'Moose I9588 0721'!E22</f>
        <v>298.67</v>
      </c>
      <c r="E15" s="5" t="s">
        <v>10</v>
      </c>
    </row>
    <row r="16" customFormat="false" ht="23.85" hidden="false" customHeight="false" outlineLevel="0" collapsed="false">
      <c r="A16" s="4" t="s">
        <v>30</v>
      </c>
      <c r="B16" s="4" t="s">
        <v>31</v>
      </c>
      <c r="C16" s="5" t="s">
        <v>32</v>
      </c>
      <c r="D16" s="6" t="n">
        <f aca="false">'Mad Moose I11777 0804'!E28</f>
        <v>453.32</v>
      </c>
      <c r="E16" s="5" t="s">
        <v>10</v>
      </c>
    </row>
    <row r="17" customFormat="false" ht="23.85" hidden="false" customHeight="false" outlineLevel="0" collapsed="false">
      <c r="A17" s="4" t="s">
        <v>33</v>
      </c>
      <c r="B17" s="4" t="s">
        <v>34</v>
      </c>
      <c r="C17" s="5"/>
      <c r="D17" s="6" t="n">
        <f aca="false">'Supplies 792.24'!E24</f>
        <v>300.94</v>
      </c>
      <c r="E17" s="6" t="n">
        <v>792.24</v>
      </c>
    </row>
    <row r="18" customFormat="false" ht="23.85" hidden="false" customHeight="false" outlineLevel="0" collapsed="false">
      <c r="A18" s="4" t="s">
        <v>35</v>
      </c>
      <c r="B18" s="4" t="s">
        <v>34</v>
      </c>
      <c r="C18" s="5"/>
      <c r="D18" s="6" t="n">
        <f aca="false">'Supplies 784.19'!E22</f>
        <v>421.83</v>
      </c>
      <c r="E18" s="6" t="n">
        <v>784.19</v>
      </c>
    </row>
    <row r="19" customFormat="false" ht="23.85" hidden="false" customHeight="false" outlineLevel="0" collapsed="false">
      <c r="A19" s="4" t="s">
        <v>36</v>
      </c>
      <c r="B19" s="4" t="s">
        <v>34</v>
      </c>
      <c r="C19" s="5"/>
      <c r="D19" s="6" t="n">
        <f aca="false">'Receipt S01'!E49</f>
        <v>859.58</v>
      </c>
      <c r="E19" s="5" t="s">
        <v>10</v>
      </c>
    </row>
    <row r="20" customFormat="false" ht="23.85" hidden="false" customHeight="false" outlineLevel="0" collapsed="false">
      <c r="A20" s="4" t="s">
        <v>37</v>
      </c>
      <c r="B20" s="4" t="s">
        <v>34</v>
      </c>
      <c r="C20" s="5"/>
      <c r="D20" s="6" t="n">
        <f aca="false">'Receipt S11'!E51</f>
        <v>698</v>
      </c>
      <c r="E20" s="5" t="s">
        <v>10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</row>
    <row r="3" customFormat="false" ht="22.35" hidden="false" customHeight="true" outlineLevel="0" collapsed="false">
      <c r="A3" s="2" t="s">
        <v>39</v>
      </c>
      <c r="B3" s="2"/>
      <c r="C3" s="2"/>
      <c r="D3" s="2"/>
      <c r="E3" s="2"/>
      <c r="F3" s="2"/>
    </row>
    <row r="5" customFormat="false" ht="26.85" hidden="false" customHeight="false" outlineLevel="0" collapsed="false">
      <c r="A5" s="3" t="s">
        <v>40</v>
      </c>
      <c r="B5" s="3" t="s">
        <v>3</v>
      </c>
      <c r="C5" s="3" t="s">
        <v>4</v>
      </c>
      <c r="D5" s="3" t="s">
        <v>41</v>
      </c>
      <c r="E5" s="3" t="s">
        <v>42</v>
      </c>
      <c r="F5" s="3" t="s">
        <v>43</v>
      </c>
    </row>
    <row r="6" customFormat="false" ht="23.85" hidden="false" customHeight="false" outlineLevel="0" collapsed="false">
      <c r="A6" s="7" t="s">
        <v>44</v>
      </c>
      <c r="B6" s="8" t="s">
        <v>45</v>
      </c>
      <c r="C6" s="8" t="s">
        <v>9</v>
      </c>
      <c r="D6" s="7" t="s">
        <v>46</v>
      </c>
      <c r="E6" s="8"/>
      <c r="F6" s="7" t="s">
        <v>47</v>
      </c>
    </row>
    <row r="7" customFormat="false" ht="23.85" hidden="false" customHeight="false" outlineLevel="0" collapsed="false">
      <c r="A7" s="7" t="s">
        <v>48</v>
      </c>
      <c r="B7" s="8" t="s">
        <v>12</v>
      </c>
      <c r="C7" s="8" t="s">
        <v>13</v>
      </c>
      <c r="D7" s="7" t="s">
        <v>49</v>
      </c>
      <c r="E7" s="8"/>
      <c r="F7" s="7" t="s">
        <v>47</v>
      </c>
    </row>
    <row r="8" customFormat="false" ht="15" hidden="false" customHeight="false" outlineLevel="0" collapsed="false">
      <c r="A8" s="4" t="s">
        <v>50</v>
      </c>
      <c r="B8" s="5" t="s">
        <v>45</v>
      </c>
      <c r="C8" s="5" t="s">
        <v>15</v>
      </c>
      <c r="D8" s="4" t="s">
        <v>46</v>
      </c>
      <c r="E8" s="6" t="n">
        <v>1094.14</v>
      </c>
      <c r="F8" s="4" t="s">
        <v>51</v>
      </c>
    </row>
    <row r="9" customFormat="false" ht="23.85" hidden="false" customHeight="false" outlineLevel="0" collapsed="false">
      <c r="A9" s="4" t="s">
        <v>52</v>
      </c>
      <c r="B9" s="5" t="s">
        <v>12</v>
      </c>
      <c r="C9" s="5" t="s">
        <v>17</v>
      </c>
      <c r="D9" s="4" t="s">
        <v>53</v>
      </c>
      <c r="E9" s="6" t="n">
        <v>3524.35</v>
      </c>
      <c r="F9" s="4" t="s">
        <v>51</v>
      </c>
    </row>
    <row r="10" customFormat="false" ht="15" hidden="false" customHeight="false" outlineLevel="0" collapsed="false">
      <c r="A10" s="4" t="s">
        <v>54</v>
      </c>
      <c r="B10" s="5" t="s">
        <v>12</v>
      </c>
      <c r="C10" s="5" t="s">
        <v>19</v>
      </c>
      <c r="D10" s="4" t="s">
        <v>55</v>
      </c>
      <c r="E10" s="5"/>
      <c r="F10" s="4" t="s">
        <v>56</v>
      </c>
    </row>
    <row r="11" customFormat="false" ht="15" hidden="false" customHeight="false" outlineLevel="0" collapsed="false">
      <c r="A11" s="4" t="s">
        <v>57</v>
      </c>
      <c r="B11" s="5" t="s">
        <v>12</v>
      </c>
      <c r="C11" s="5" t="s">
        <v>21</v>
      </c>
      <c r="D11" s="4" t="s">
        <v>58</v>
      </c>
      <c r="E11" s="6" t="n">
        <v>3986.59</v>
      </c>
      <c r="F11" s="4" t="s">
        <v>56</v>
      </c>
    </row>
    <row r="12" customFormat="false" ht="15" hidden="false" customHeight="false" outlineLevel="0" collapsed="false">
      <c r="A12" s="4" t="s">
        <v>59</v>
      </c>
      <c r="B12" s="5" t="s">
        <v>45</v>
      </c>
      <c r="C12" s="5" t="s">
        <v>23</v>
      </c>
      <c r="D12" s="4" t="s">
        <v>60</v>
      </c>
      <c r="E12" s="5"/>
      <c r="F12" s="4" t="s">
        <v>61</v>
      </c>
    </row>
    <row r="13" customFormat="false" ht="15" hidden="false" customHeight="false" outlineLevel="0" collapsed="false">
      <c r="A13" s="4" t="s">
        <v>62</v>
      </c>
      <c r="B13" s="5" t="s">
        <v>45</v>
      </c>
      <c r="C13" s="5" t="s">
        <v>25</v>
      </c>
      <c r="D13" s="4" t="s">
        <v>63</v>
      </c>
      <c r="E13" s="6" t="n">
        <v>5217.23</v>
      </c>
      <c r="F13" s="4" t="s">
        <v>56</v>
      </c>
    </row>
    <row r="14" customFormat="false" ht="15" hidden="false" customHeight="false" outlineLevel="0" collapsed="false">
      <c r="A14" s="4" t="s">
        <v>64</v>
      </c>
      <c r="B14" s="5" t="s">
        <v>45</v>
      </c>
      <c r="C14" s="5" t="s">
        <v>27</v>
      </c>
      <c r="D14" s="4" t="s">
        <v>65</v>
      </c>
      <c r="E14" s="5"/>
      <c r="F14" s="4" t="s">
        <v>56</v>
      </c>
    </row>
    <row r="15" customFormat="false" ht="15" hidden="false" customHeight="false" outlineLevel="0" collapsed="false">
      <c r="A15" s="4" t="s">
        <v>66</v>
      </c>
      <c r="B15" s="5" t="s">
        <v>12</v>
      </c>
      <c r="C15" s="5" t="s">
        <v>29</v>
      </c>
      <c r="D15" s="4" t="s">
        <v>67</v>
      </c>
      <c r="E15" s="5"/>
      <c r="F15" s="4" t="s">
        <v>56</v>
      </c>
    </row>
    <row r="16" customFormat="false" ht="23.85" hidden="false" customHeight="false" outlineLevel="0" collapsed="false">
      <c r="A16" s="4" t="s">
        <v>68</v>
      </c>
      <c r="B16" s="5" t="s">
        <v>45</v>
      </c>
      <c r="C16" s="5" t="s">
        <v>32</v>
      </c>
      <c r="D16" s="4" t="s">
        <v>69</v>
      </c>
      <c r="E16" s="5"/>
      <c r="F16" s="4" t="s">
        <v>70</v>
      </c>
    </row>
    <row r="17" customFormat="false" ht="23.85" hidden="false" customHeight="false" outlineLevel="0" collapsed="false">
      <c r="A17" s="4" t="s">
        <v>71</v>
      </c>
      <c r="B17" s="5" t="s">
        <v>72</v>
      </c>
      <c r="C17" s="5" t="s">
        <v>10</v>
      </c>
      <c r="D17" s="4" t="s">
        <v>73</v>
      </c>
      <c r="E17" s="6" t="n">
        <v>792.24</v>
      </c>
      <c r="F17" s="4" t="s">
        <v>74</v>
      </c>
    </row>
    <row r="18" customFormat="false" ht="23.85" hidden="false" customHeight="false" outlineLevel="0" collapsed="false">
      <c r="A18" s="4" t="s">
        <v>75</v>
      </c>
      <c r="B18" s="5" t="s">
        <v>72</v>
      </c>
      <c r="C18" s="5" t="s">
        <v>10</v>
      </c>
      <c r="D18" s="4" t="s">
        <v>73</v>
      </c>
      <c r="E18" s="6" t="n">
        <v>784.19</v>
      </c>
      <c r="F18" s="4" t="s">
        <v>74</v>
      </c>
    </row>
    <row r="19" customFormat="false" ht="15" hidden="false" customHeight="false" outlineLevel="0" collapsed="false">
      <c r="A19" s="4" t="s">
        <v>76</v>
      </c>
      <c r="B19" s="5" t="s">
        <v>72</v>
      </c>
      <c r="C19" s="5" t="s">
        <v>10</v>
      </c>
      <c r="D19" s="4" t="s">
        <v>73</v>
      </c>
      <c r="E19" s="5"/>
      <c r="F19" s="4" t="s">
        <v>77</v>
      </c>
    </row>
    <row r="20" customFormat="false" ht="15" hidden="false" customHeight="false" outlineLevel="0" collapsed="false">
      <c r="A20" s="4" t="s">
        <v>78</v>
      </c>
      <c r="B20" s="5" t="s">
        <v>72</v>
      </c>
      <c r="C20" s="5" t="s">
        <v>10</v>
      </c>
      <c r="D20" s="4" t="s">
        <v>73</v>
      </c>
      <c r="E20" s="5"/>
      <c r="F20" s="4" t="s">
        <v>79</v>
      </c>
    </row>
    <row r="21" customFormat="false" ht="23.85" hidden="false" customHeight="false" outlineLevel="0" collapsed="false">
      <c r="A21" s="9" t="s">
        <v>80</v>
      </c>
      <c r="B21" s="10" t="s">
        <v>81</v>
      </c>
      <c r="C21" s="10" t="s">
        <v>82</v>
      </c>
      <c r="D21" s="9" t="s">
        <v>83</v>
      </c>
      <c r="E21" s="10"/>
      <c r="F21" s="9" t="s">
        <v>84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86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88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90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92</v>
      </c>
      <c r="C6" s="12"/>
      <c r="D6" s="12"/>
      <c r="E6" s="12"/>
    </row>
    <row r="7" customFormat="false" ht="15" hidden="false" customHeight="true" outlineLevel="0" collapsed="false">
      <c r="A7" s="13" t="s">
        <v>93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99</v>
      </c>
      <c r="B11" s="5" t="s">
        <v>100</v>
      </c>
      <c r="C11" s="4" t="s">
        <v>101</v>
      </c>
      <c r="D11" s="14" t="n">
        <v>1</v>
      </c>
      <c r="E11" s="6" t="n">
        <v>85.73</v>
      </c>
    </row>
    <row r="12" customFormat="false" ht="15" hidden="false" customHeight="false" outlineLevel="0" collapsed="false">
      <c r="A12" s="4" t="s">
        <v>102</v>
      </c>
      <c r="B12" s="5" t="s">
        <v>103</v>
      </c>
      <c r="C12" s="4" t="s">
        <v>104</v>
      </c>
      <c r="D12" s="14" t="n">
        <v>1</v>
      </c>
      <c r="E12" s="6" t="n">
        <v>11.87</v>
      </c>
    </row>
    <row r="13" customFormat="false" ht="15" hidden="false" customHeight="false" outlineLevel="0" collapsed="false">
      <c r="A13" s="4" t="s">
        <v>105</v>
      </c>
      <c r="B13" s="5" t="s">
        <v>106</v>
      </c>
      <c r="C13" s="4" t="s">
        <v>107</v>
      </c>
      <c r="D13" s="14" t="n">
        <v>7</v>
      </c>
      <c r="E13" s="6" t="n">
        <v>69.62</v>
      </c>
    </row>
    <row r="14" customFormat="false" ht="15" hidden="false" customHeight="false" outlineLevel="0" collapsed="false">
      <c r="A14" s="4" t="s">
        <v>108</v>
      </c>
      <c r="B14" s="5" t="s">
        <v>109</v>
      </c>
      <c r="C14" s="4" t="s">
        <v>110</v>
      </c>
      <c r="D14" s="14" t="n">
        <v>1</v>
      </c>
      <c r="E14" s="6" t="n">
        <v>71.6</v>
      </c>
    </row>
    <row r="15" customFormat="false" ht="15" hidden="false" customHeight="false" outlineLevel="0" collapsed="false">
      <c r="A15" s="4" t="s">
        <v>108</v>
      </c>
      <c r="B15" s="5" t="s">
        <v>109</v>
      </c>
      <c r="C15" s="4" t="s">
        <v>110</v>
      </c>
      <c r="D15" s="14" t="n">
        <v>1</v>
      </c>
      <c r="E15" s="6" t="n">
        <v>71.6</v>
      </c>
    </row>
    <row r="16" customFormat="false" ht="15" hidden="false" customHeight="false" outlineLevel="0" collapsed="false">
      <c r="A16" s="4" t="s">
        <v>108</v>
      </c>
      <c r="B16" s="5" t="s">
        <v>109</v>
      </c>
      <c r="C16" s="4" t="s">
        <v>110</v>
      </c>
      <c r="D16" s="14" t="n">
        <v>1</v>
      </c>
      <c r="E16" s="6" t="n">
        <v>71.6</v>
      </c>
    </row>
    <row r="17" customFormat="false" ht="15" hidden="false" customHeight="false" outlineLevel="0" collapsed="false">
      <c r="A17" s="4" t="s">
        <v>108</v>
      </c>
      <c r="B17" s="5" t="s">
        <v>109</v>
      </c>
      <c r="C17" s="4" t="s">
        <v>110</v>
      </c>
      <c r="D17" s="14" t="n">
        <v>1</v>
      </c>
      <c r="E17" s="6" t="n">
        <v>71.6</v>
      </c>
    </row>
    <row r="18" customFormat="false" ht="15" hidden="false" customHeight="false" outlineLevel="0" collapsed="false">
      <c r="A18" s="4" t="s">
        <v>108</v>
      </c>
      <c r="B18" s="5" t="s">
        <v>109</v>
      </c>
      <c r="C18" s="4" t="s">
        <v>110</v>
      </c>
      <c r="D18" s="14" t="n">
        <v>1</v>
      </c>
      <c r="E18" s="6" t="n">
        <v>71.6</v>
      </c>
    </row>
    <row r="19" customFormat="false" ht="15" hidden="false" customHeight="false" outlineLevel="0" collapsed="false">
      <c r="A19" s="4" t="s">
        <v>111</v>
      </c>
      <c r="B19" s="5" t="s">
        <v>112</v>
      </c>
      <c r="C19" s="4" t="s">
        <v>113</v>
      </c>
      <c r="D19" s="14" t="n">
        <v>6</v>
      </c>
      <c r="E19" s="6" t="n">
        <v>20.23</v>
      </c>
    </row>
    <row r="20" customFormat="false" ht="15" hidden="false" customHeight="false" outlineLevel="0" collapsed="false">
      <c r="A20" s="4" t="s">
        <v>114</v>
      </c>
      <c r="B20" s="5" t="s">
        <v>115</v>
      </c>
      <c r="C20" s="4" t="s">
        <v>116</v>
      </c>
      <c r="D20" s="14" t="n">
        <v>8</v>
      </c>
      <c r="E20" s="6" t="n">
        <v>35.64</v>
      </c>
    </row>
    <row r="21" customFormat="false" ht="15" hidden="false" customHeight="false" outlineLevel="0" collapsed="false">
      <c r="A21" s="4" t="s">
        <v>117</v>
      </c>
      <c r="B21" s="5" t="s">
        <v>118</v>
      </c>
      <c r="C21" s="4" t="s">
        <v>119</v>
      </c>
      <c r="D21" s="14" t="n">
        <v>4</v>
      </c>
      <c r="E21" s="6" t="n">
        <v>86.28</v>
      </c>
    </row>
    <row r="22" customFormat="false" ht="15" hidden="false" customHeight="false" outlineLevel="0" collapsed="false">
      <c r="A22" s="4" t="s">
        <v>120</v>
      </c>
      <c r="B22" s="5" t="s">
        <v>121</v>
      </c>
      <c r="C22" s="4" t="s">
        <v>122</v>
      </c>
      <c r="D22" s="14" t="n">
        <v>1</v>
      </c>
      <c r="E22" s="6" t="n">
        <v>323.74</v>
      </c>
    </row>
    <row r="23" customFormat="false" ht="15" hidden="false" customHeight="false" outlineLevel="0" collapsed="false">
      <c r="A23" s="4" t="s">
        <v>123</v>
      </c>
      <c r="B23" s="5"/>
      <c r="C23" s="4" t="s">
        <v>124</v>
      </c>
      <c r="D23" s="14"/>
      <c r="E23" s="6" t="n">
        <v>-25.97</v>
      </c>
    </row>
    <row r="24" customFormat="false" ht="15" hidden="false" customHeight="false" outlineLevel="0" collapsed="false">
      <c r="A24" s="4" t="s">
        <v>120</v>
      </c>
      <c r="B24" s="5" t="s">
        <v>125</v>
      </c>
      <c r="C24" s="4" t="s">
        <v>126</v>
      </c>
      <c r="D24" s="14" t="n">
        <v>1</v>
      </c>
      <c r="E24" s="6" t="n">
        <v>300.24</v>
      </c>
    </row>
    <row r="25" customFormat="false" ht="15" hidden="false" customHeight="false" outlineLevel="0" collapsed="false">
      <c r="A25" s="4" t="s">
        <v>127</v>
      </c>
      <c r="B25" s="5" t="s">
        <v>128</v>
      </c>
      <c r="C25" s="4" t="s">
        <v>129</v>
      </c>
      <c r="D25" s="14" t="n">
        <v>1</v>
      </c>
      <c r="E25" s="6" t="n">
        <v>69.6</v>
      </c>
    </row>
    <row r="26" customFormat="false" ht="15" hidden="false" customHeight="false" outlineLevel="0" collapsed="false">
      <c r="A26" s="4" t="s">
        <v>130</v>
      </c>
      <c r="B26" s="5" t="s">
        <v>131</v>
      </c>
      <c r="C26" s="4"/>
      <c r="D26" s="14" t="n">
        <v>1</v>
      </c>
      <c r="E26" s="6" t="n">
        <v>7.42</v>
      </c>
    </row>
    <row r="27" customFormat="false" ht="15" hidden="false" customHeight="false" outlineLevel="0" collapsed="false">
      <c r="A27" s="4" t="s">
        <v>130</v>
      </c>
      <c r="B27" s="5" t="s">
        <v>131</v>
      </c>
      <c r="C27" s="4"/>
      <c r="D27" s="14" t="n">
        <v>1</v>
      </c>
      <c r="E27" s="6" t="n">
        <v>7.42</v>
      </c>
    </row>
    <row r="28" customFormat="false" ht="15" hidden="false" customHeight="false" outlineLevel="0" collapsed="false">
      <c r="A28" s="4" t="s">
        <v>132</v>
      </c>
      <c r="B28" s="5" t="s">
        <v>133</v>
      </c>
      <c r="C28" s="4"/>
      <c r="D28" s="14" t="n">
        <v>1</v>
      </c>
      <c r="E28" s="6" t="n">
        <v>43.7</v>
      </c>
    </row>
    <row r="29" customFormat="false" ht="15" hidden="false" customHeight="false" outlineLevel="0" collapsed="false">
      <c r="A29" s="4" t="s">
        <v>134</v>
      </c>
      <c r="B29" s="5" t="s">
        <v>135</v>
      </c>
      <c r="C29" s="4"/>
      <c r="D29" s="14" t="n">
        <v>1</v>
      </c>
      <c r="E29" s="6" t="n">
        <v>42.31</v>
      </c>
    </row>
    <row r="30" customFormat="false" ht="15" hidden="false" customHeight="false" outlineLevel="0" collapsed="false">
      <c r="A30" s="4" t="s">
        <v>136</v>
      </c>
      <c r="B30" s="5"/>
      <c r="C30" s="4" t="s">
        <v>137</v>
      </c>
      <c r="D30" s="14"/>
      <c r="E30" s="6" t="n">
        <v>-19.04</v>
      </c>
    </row>
    <row r="31" customFormat="false" ht="15" hidden="false" customHeight="false" outlineLevel="0" collapsed="false">
      <c r="A31" s="4" t="s">
        <v>134</v>
      </c>
      <c r="B31" s="5" t="s">
        <v>135</v>
      </c>
      <c r="C31" s="4"/>
      <c r="D31" s="14" t="n">
        <v>1</v>
      </c>
      <c r="E31" s="6" t="n">
        <v>42.31</v>
      </c>
    </row>
    <row r="32" customFormat="false" ht="15" hidden="false" customHeight="false" outlineLevel="0" collapsed="false">
      <c r="A32" s="4" t="s">
        <v>136</v>
      </c>
      <c r="B32" s="5"/>
      <c r="C32" s="4" t="s">
        <v>137</v>
      </c>
      <c r="D32" s="14"/>
      <c r="E32" s="6" t="n">
        <v>-19.04</v>
      </c>
    </row>
    <row r="33" customFormat="false" ht="15" hidden="false" customHeight="false" outlineLevel="0" collapsed="false">
      <c r="A33" s="4" t="s">
        <v>120</v>
      </c>
      <c r="B33" s="5" t="s">
        <v>138</v>
      </c>
      <c r="C33" s="4" t="s">
        <v>139</v>
      </c>
      <c r="D33" s="14" t="n">
        <v>1</v>
      </c>
      <c r="E33" s="6" t="n">
        <v>312.07</v>
      </c>
    </row>
    <row r="34" customFormat="false" ht="15" hidden="false" customHeight="false" outlineLevel="0" collapsed="false">
      <c r="A34" s="4" t="s">
        <v>136</v>
      </c>
      <c r="B34" s="5"/>
      <c r="C34" s="4" t="s">
        <v>140</v>
      </c>
      <c r="D34" s="14"/>
      <c r="E34" s="6" t="n">
        <v>-78.02</v>
      </c>
    </row>
    <row r="35" customFormat="false" ht="15" hidden="false" customHeight="false" outlineLevel="0" collapsed="false">
      <c r="A35" s="4" t="s">
        <v>120</v>
      </c>
      <c r="B35" s="5" t="s">
        <v>141</v>
      </c>
      <c r="C35" s="4" t="s">
        <v>142</v>
      </c>
      <c r="D35" s="14" t="n">
        <v>1</v>
      </c>
      <c r="E35" s="6" t="n">
        <v>313.55</v>
      </c>
    </row>
    <row r="36" customFormat="false" ht="15" hidden="false" customHeight="false" outlineLevel="0" collapsed="false">
      <c r="A36" s="4" t="s">
        <v>136</v>
      </c>
      <c r="B36" s="5"/>
      <c r="C36" s="4" t="s">
        <v>140</v>
      </c>
      <c r="D36" s="14"/>
      <c r="E36" s="6" t="n">
        <v>-78.39</v>
      </c>
    </row>
    <row r="37" customFormat="false" ht="23.85" hidden="false" customHeight="false" outlineLevel="0" collapsed="false">
      <c r="A37" s="4" t="s">
        <v>143</v>
      </c>
      <c r="B37" s="5" t="s">
        <v>144</v>
      </c>
      <c r="C37" s="4" t="s">
        <v>145</v>
      </c>
      <c r="D37" s="14" t="n">
        <v>1</v>
      </c>
      <c r="E37" s="6" t="n">
        <v>116.8</v>
      </c>
    </row>
    <row r="38" customFormat="false" ht="23.85" hidden="false" customHeight="false" outlineLevel="0" collapsed="false">
      <c r="A38" s="4" t="s">
        <v>143</v>
      </c>
      <c r="B38" s="5" t="s">
        <v>146</v>
      </c>
      <c r="C38" s="4" t="s">
        <v>147</v>
      </c>
      <c r="D38" s="14" t="n">
        <v>1</v>
      </c>
      <c r="E38" s="6" t="n">
        <v>58.4</v>
      </c>
    </row>
    <row r="39" customFormat="false" ht="15" hidden="false" customHeight="false" outlineLevel="0" collapsed="false">
      <c r="A39" s="15" t="s">
        <v>148</v>
      </c>
      <c r="B39" s="15"/>
      <c r="C39" s="15"/>
      <c r="D39" s="15"/>
      <c r="E39" s="16" t="n">
        <f aca="false">SUM(E11:E38)</f>
        <v>2084.47</v>
      </c>
    </row>
  </sheetData>
  <mergeCells count="7">
    <mergeCell ref="A1:E1"/>
    <mergeCell ref="B3:E3"/>
    <mergeCell ref="B4:E4"/>
    <mergeCell ref="B5:E5"/>
    <mergeCell ref="B6:E6"/>
    <mergeCell ref="A7:E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149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150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90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151</v>
      </c>
      <c r="C6" s="12"/>
      <c r="D6" s="12"/>
      <c r="E6" s="12"/>
    </row>
    <row r="7" customFormat="false" ht="15" hidden="false" customHeight="true" outlineLevel="0" collapsed="false">
      <c r="A7" s="13" t="s">
        <v>152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153</v>
      </c>
      <c r="B11" s="5" t="s">
        <v>154</v>
      </c>
      <c r="C11" s="4" t="s">
        <v>104</v>
      </c>
      <c r="D11" s="14" t="n">
        <v>1</v>
      </c>
      <c r="E11" s="6" t="n">
        <v>8.55</v>
      </c>
    </row>
    <row r="12" customFormat="false" ht="15" hidden="false" customHeight="false" outlineLevel="0" collapsed="false">
      <c r="A12" s="4" t="s">
        <v>153</v>
      </c>
      <c r="B12" s="5" t="s">
        <v>154</v>
      </c>
      <c r="C12" s="4" t="s">
        <v>104</v>
      </c>
      <c r="D12" s="14" t="n">
        <v>1</v>
      </c>
      <c r="E12" s="6" t="n">
        <v>8.55</v>
      </c>
    </row>
    <row r="13" customFormat="false" ht="15" hidden="false" customHeight="false" outlineLevel="0" collapsed="false">
      <c r="A13" s="4" t="s">
        <v>153</v>
      </c>
      <c r="B13" s="5" t="s">
        <v>154</v>
      </c>
      <c r="C13" s="4" t="s">
        <v>104</v>
      </c>
      <c r="D13" s="14" t="n">
        <v>1</v>
      </c>
      <c r="E13" s="6" t="n">
        <v>8.55</v>
      </c>
    </row>
    <row r="14" customFormat="false" ht="15" hidden="false" customHeight="false" outlineLevel="0" collapsed="false">
      <c r="A14" s="4" t="s">
        <v>155</v>
      </c>
      <c r="B14" s="5" t="s">
        <v>156</v>
      </c>
      <c r="C14" s="4" t="s">
        <v>113</v>
      </c>
      <c r="D14" s="14" t="n">
        <v>6</v>
      </c>
      <c r="E14" s="6" t="n">
        <v>35.32</v>
      </c>
    </row>
    <row r="15" customFormat="false" ht="15" hidden="false" customHeight="false" outlineLevel="0" collapsed="false">
      <c r="A15" s="4" t="s">
        <v>157</v>
      </c>
      <c r="B15" s="5" t="s">
        <v>158</v>
      </c>
      <c r="C15" s="4"/>
      <c r="D15" s="14" t="n">
        <v>1</v>
      </c>
      <c r="E15" s="6" t="n">
        <v>3.75</v>
      </c>
    </row>
    <row r="16" customFormat="false" ht="15" hidden="false" customHeight="false" outlineLevel="0" collapsed="false">
      <c r="A16" s="4" t="s">
        <v>159</v>
      </c>
      <c r="B16" s="5" t="s">
        <v>160</v>
      </c>
      <c r="C16" s="4"/>
      <c r="D16" s="14" t="n">
        <v>1</v>
      </c>
      <c r="E16" s="6" t="n">
        <v>8.02</v>
      </c>
    </row>
    <row r="17" customFormat="false" ht="15" hidden="false" customHeight="false" outlineLevel="0" collapsed="false">
      <c r="A17" s="4" t="s">
        <v>161</v>
      </c>
      <c r="B17" s="5"/>
      <c r="C17" s="4" t="s">
        <v>162</v>
      </c>
      <c r="D17" s="14" t="n">
        <v>1</v>
      </c>
      <c r="E17" s="6"/>
    </row>
    <row r="18" customFormat="false" ht="15" hidden="false" customHeight="false" outlineLevel="0" collapsed="false">
      <c r="A18" s="4" t="s">
        <v>163</v>
      </c>
      <c r="B18" s="5" t="s">
        <v>164</v>
      </c>
      <c r="C18" s="4"/>
      <c r="D18" s="14" t="n">
        <v>1</v>
      </c>
      <c r="E18" s="6" t="n">
        <v>16.98</v>
      </c>
    </row>
    <row r="19" customFormat="false" ht="15" hidden="false" customHeight="false" outlineLevel="0" collapsed="false">
      <c r="A19" s="4" t="s">
        <v>165</v>
      </c>
      <c r="B19" s="5" t="s">
        <v>166</v>
      </c>
      <c r="C19" s="4"/>
      <c r="D19" s="14" t="n">
        <v>1</v>
      </c>
      <c r="E19" s="6" t="n">
        <v>37.98</v>
      </c>
    </row>
    <row r="20" customFormat="false" ht="15" hidden="false" customHeight="false" outlineLevel="0" collapsed="false">
      <c r="A20" s="4" t="s">
        <v>167</v>
      </c>
      <c r="B20" s="5" t="s">
        <v>168</v>
      </c>
      <c r="C20" s="4" t="s">
        <v>169</v>
      </c>
      <c r="D20" s="14" t="n">
        <v>60</v>
      </c>
      <c r="E20" s="6" t="n">
        <v>553.8</v>
      </c>
    </row>
    <row r="21" customFormat="false" ht="15" hidden="false" customHeight="false" outlineLevel="0" collapsed="false">
      <c r="A21" s="4" t="s">
        <v>167</v>
      </c>
      <c r="B21" s="5" t="s">
        <v>168</v>
      </c>
      <c r="C21" s="4" t="s">
        <v>170</v>
      </c>
      <c r="D21" s="14" t="n">
        <v>-60</v>
      </c>
      <c r="E21" s="6" t="n">
        <v>-553.8</v>
      </c>
    </row>
    <row r="22" customFormat="false" ht="15" hidden="false" customHeight="false" outlineLevel="0" collapsed="false">
      <c r="A22" s="4" t="s">
        <v>167</v>
      </c>
      <c r="B22" s="5" t="s">
        <v>168</v>
      </c>
      <c r="C22" s="4" t="s">
        <v>104</v>
      </c>
      <c r="D22" s="14" t="n">
        <v>1</v>
      </c>
      <c r="E22" s="6" t="n">
        <v>9.33</v>
      </c>
    </row>
    <row r="23" customFormat="false" ht="15" hidden="false" customHeight="false" outlineLevel="0" collapsed="false">
      <c r="A23" s="4" t="s">
        <v>167</v>
      </c>
      <c r="B23" s="5" t="s">
        <v>168</v>
      </c>
      <c r="C23" s="4" t="s">
        <v>104</v>
      </c>
      <c r="D23" s="14" t="n">
        <v>1</v>
      </c>
      <c r="E23" s="6" t="n">
        <v>9.33</v>
      </c>
    </row>
    <row r="24" customFormat="false" ht="15" hidden="false" customHeight="false" outlineLevel="0" collapsed="false">
      <c r="A24" s="4" t="s">
        <v>171</v>
      </c>
      <c r="B24" s="5" t="s">
        <v>172</v>
      </c>
      <c r="C24" s="4" t="s">
        <v>104</v>
      </c>
      <c r="D24" s="14" t="n">
        <v>1</v>
      </c>
      <c r="E24" s="6" t="n">
        <v>7.81</v>
      </c>
    </row>
    <row r="25" customFormat="false" ht="15" hidden="false" customHeight="false" outlineLevel="0" collapsed="false">
      <c r="A25" s="4" t="s">
        <v>171</v>
      </c>
      <c r="B25" s="5" t="s">
        <v>172</v>
      </c>
      <c r="C25" s="4" t="s">
        <v>104</v>
      </c>
      <c r="D25" s="14" t="n">
        <v>1</v>
      </c>
      <c r="E25" s="6" t="n">
        <v>7.81</v>
      </c>
    </row>
    <row r="26" customFormat="false" ht="15" hidden="false" customHeight="false" outlineLevel="0" collapsed="false">
      <c r="A26" s="4" t="s">
        <v>171</v>
      </c>
      <c r="B26" s="5" t="s">
        <v>172</v>
      </c>
      <c r="C26" s="4" t="s">
        <v>104</v>
      </c>
      <c r="D26" s="14" t="n">
        <v>1</v>
      </c>
      <c r="E26" s="6" t="n">
        <v>7.81</v>
      </c>
    </row>
    <row r="27" customFormat="false" ht="15" hidden="false" customHeight="false" outlineLevel="0" collapsed="false">
      <c r="A27" s="4" t="s">
        <v>171</v>
      </c>
      <c r="B27" s="5" t="s">
        <v>172</v>
      </c>
      <c r="C27" s="4" t="s">
        <v>104</v>
      </c>
      <c r="D27" s="14" t="n">
        <v>1</v>
      </c>
      <c r="E27" s="6" t="n">
        <v>7.81</v>
      </c>
    </row>
    <row r="28" customFormat="false" ht="15" hidden="false" customHeight="false" outlineLevel="0" collapsed="false">
      <c r="A28" s="4" t="s">
        <v>171</v>
      </c>
      <c r="B28" s="5" t="s">
        <v>172</v>
      </c>
      <c r="C28" s="4" t="s">
        <v>104</v>
      </c>
      <c r="D28" s="14" t="n">
        <v>1</v>
      </c>
      <c r="E28" s="6" t="n">
        <v>7.81</v>
      </c>
    </row>
    <row r="29" customFormat="false" ht="15" hidden="false" customHeight="false" outlineLevel="0" collapsed="false">
      <c r="A29" s="4" t="s">
        <v>173</v>
      </c>
      <c r="B29" s="5" t="s">
        <v>174</v>
      </c>
      <c r="C29" s="4"/>
      <c r="D29" s="14" t="n">
        <v>1</v>
      </c>
      <c r="E29" s="6" t="n">
        <v>26.39</v>
      </c>
    </row>
    <row r="30" customFormat="false" ht="15" hidden="false" customHeight="false" outlineLevel="0" collapsed="false">
      <c r="A30" s="4" t="s">
        <v>175</v>
      </c>
      <c r="B30" s="5" t="s">
        <v>176</v>
      </c>
      <c r="C30" s="4"/>
      <c r="D30" s="14" t="n">
        <v>1</v>
      </c>
      <c r="E30" s="6" t="n">
        <v>17.64</v>
      </c>
    </row>
    <row r="31" customFormat="false" ht="15" hidden="false" customHeight="false" outlineLevel="0" collapsed="false">
      <c r="A31" s="4" t="s">
        <v>177</v>
      </c>
      <c r="B31" s="5" t="s">
        <v>178</v>
      </c>
      <c r="C31" s="4" t="s">
        <v>179</v>
      </c>
      <c r="D31" s="14" t="n">
        <v>10</v>
      </c>
      <c r="E31" s="6" t="n">
        <v>64.07</v>
      </c>
    </row>
    <row r="32" customFormat="false" ht="15" hidden="false" customHeight="false" outlineLevel="0" collapsed="false">
      <c r="A32" s="4" t="s">
        <v>180</v>
      </c>
      <c r="B32" s="5" t="s">
        <v>181</v>
      </c>
      <c r="C32" s="4" t="s">
        <v>182</v>
      </c>
      <c r="D32" s="14" t="n">
        <v>2</v>
      </c>
      <c r="E32" s="6" t="n">
        <v>55.24</v>
      </c>
    </row>
    <row r="33" customFormat="false" ht="15" hidden="false" customHeight="false" outlineLevel="0" collapsed="false">
      <c r="A33" s="4" t="s">
        <v>180</v>
      </c>
      <c r="B33" s="5" t="s">
        <v>181</v>
      </c>
      <c r="C33" s="4" t="s">
        <v>182</v>
      </c>
      <c r="D33" s="14" t="n">
        <v>2</v>
      </c>
      <c r="E33" s="6" t="n">
        <v>55.24</v>
      </c>
    </row>
    <row r="34" customFormat="false" ht="15" hidden="false" customHeight="false" outlineLevel="0" collapsed="false">
      <c r="A34" s="4" t="s">
        <v>183</v>
      </c>
      <c r="B34" s="5" t="s">
        <v>184</v>
      </c>
      <c r="C34" s="4" t="s">
        <v>104</v>
      </c>
      <c r="D34" s="14" t="n">
        <v>1</v>
      </c>
      <c r="E34" s="6" t="n">
        <v>18.4</v>
      </c>
    </row>
    <row r="35" customFormat="false" ht="15" hidden="false" customHeight="false" outlineLevel="0" collapsed="false">
      <c r="A35" s="4" t="s">
        <v>185</v>
      </c>
      <c r="B35" s="5" t="s">
        <v>186</v>
      </c>
      <c r="C35" s="4" t="s">
        <v>104</v>
      </c>
      <c r="D35" s="14" t="n">
        <v>1</v>
      </c>
      <c r="E35" s="6" t="n">
        <v>10.09</v>
      </c>
    </row>
    <row r="36" customFormat="false" ht="15" hidden="false" customHeight="false" outlineLevel="0" collapsed="false">
      <c r="A36" s="4" t="s">
        <v>185</v>
      </c>
      <c r="B36" s="5" t="s">
        <v>186</v>
      </c>
      <c r="C36" s="4" t="s">
        <v>104</v>
      </c>
      <c r="D36" s="14" t="n">
        <v>1</v>
      </c>
      <c r="E36" s="6" t="n">
        <v>10.09</v>
      </c>
    </row>
    <row r="37" customFormat="false" ht="15" hidden="false" customHeight="false" outlineLevel="0" collapsed="false">
      <c r="A37" s="4" t="s">
        <v>187</v>
      </c>
      <c r="B37" s="5" t="s">
        <v>188</v>
      </c>
      <c r="C37" s="4" t="s">
        <v>107</v>
      </c>
      <c r="D37" s="14" t="n">
        <v>7</v>
      </c>
      <c r="E37" s="6" t="n">
        <v>32.27</v>
      </c>
    </row>
    <row r="38" customFormat="false" ht="15" hidden="false" customHeight="false" outlineLevel="0" collapsed="false">
      <c r="A38" s="4" t="s">
        <v>189</v>
      </c>
      <c r="B38" s="5" t="s">
        <v>190</v>
      </c>
      <c r="C38" s="4"/>
      <c r="D38" s="14" t="n">
        <v>1</v>
      </c>
      <c r="E38" s="6" t="n">
        <v>32.98</v>
      </c>
    </row>
    <row r="39" customFormat="false" ht="15" hidden="false" customHeight="false" outlineLevel="0" collapsed="false">
      <c r="A39" s="4" t="s">
        <v>189</v>
      </c>
      <c r="B39" s="5"/>
      <c r="C39" s="4" t="s">
        <v>162</v>
      </c>
      <c r="D39" s="14" t="n">
        <v>1</v>
      </c>
      <c r="E39" s="6"/>
    </row>
    <row r="40" customFormat="false" ht="15" hidden="false" customHeight="false" outlineLevel="0" collapsed="false">
      <c r="A40" s="15" t="s">
        <v>148</v>
      </c>
      <c r="B40" s="15"/>
      <c r="C40" s="15"/>
      <c r="D40" s="15"/>
      <c r="E40" s="16" t="n">
        <f aca="false">SUM(E11:E39)</f>
        <v>507.82</v>
      </c>
    </row>
  </sheetData>
  <mergeCells count="7">
    <mergeCell ref="A1:E1"/>
    <mergeCell ref="B3:E3"/>
    <mergeCell ref="B4:E4"/>
    <mergeCell ref="B5:E5"/>
    <mergeCell ref="B6:E6"/>
    <mergeCell ref="A7:E8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191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88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192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193</v>
      </c>
      <c r="C6" s="12"/>
      <c r="D6" s="12"/>
      <c r="E6" s="12"/>
    </row>
    <row r="7" customFormat="false" ht="15" hidden="false" customHeight="true" outlineLevel="0" collapsed="false">
      <c r="A7" s="13" t="s">
        <v>194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195</v>
      </c>
      <c r="B11" s="5" t="s">
        <v>196</v>
      </c>
      <c r="C11" s="4" t="s">
        <v>116</v>
      </c>
      <c r="D11" s="14" t="n">
        <v>8</v>
      </c>
      <c r="E11" s="6" t="n">
        <v>18.95</v>
      </c>
    </row>
    <row r="12" customFormat="false" ht="15" hidden="false" customHeight="false" outlineLevel="0" collapsed="false">
      <c r="A12" s="4" t="s">
        <v>197</v>
      </c>
      <c r="B12" s="5" t="s">
        <v>198</v>
      </c>
      <c r="C12" s="4"/>
      <c r="D12" s="14" t="n">
        <v>1</v>
      </c>
      <c r="E12" s="6" t="n">
        <v>21.19</v>
      </c>
    </row>
    <row r="13" customFormat="false" ht="15" hidden="false" customHeight="false" outlineLevel="0" collapsed="false">
      <c r="A13" s="4" t="s">
        <v>199</v>
      </c>
      <c r="B13" s="5" t="s">
        <v>200</v>
      </c>
      <c r="C13" s="4"/>
      <c r="D13" s="14" t="n">
        <v>1</v>
      </c>
      <c r="E13" s="6" t="n">
        <v>53.38</v>
      </c>
    </row>
    <row r="14" customFormat="false" ht="15" hidden="false" customHeight="false" outlineLevel="0" collapsed="false">
      <c r="A14" s="4" t="s">
        <v>199</v>
      </c>
      <c r="B14" s="5" t="s">
        <v>200</v>
      </c>
      <c r="C14" s="4" t="s">
        <v>201</v>
      </c>
      <c r="D14" s="14" t="n">
        <v>-1</v>
      </c>
      <c r="E14" s="6" t="n">
        <v>-53.38</v>
      </c>
    </row>
    <row r="15" customFormat="false" ht="15" hidden="false" customHeight="false" outlineLevel="0" collapsed="false">
      <c r="A15" s="4" t="s">
        <v>202</v>
      </c>
      <c r="B15" s="5" t="s">
        <v>203</v>
      </c>
      <c r="C15" s="4"/>
      <c r="D15" s="14" t="n">
        <v>1</v>
      </c>
      <c r="E15" s="6" t="n">
        <v>35.74</v>
      </c>
    </row>
    <row r="16" customFormat="false" ht="15" hidden="false" customHeight="false" outlineLevel="0" collapsed="false">
      <c r="A16" s="4" t="s">
        <v>204</v>
      </c>
      <c r="B16" s="5" t="s">
        <v>205</v>
      </c>
      <c r="C16" s="4" t="s">
        <v>104</v>
      </c>
      <c r="D16" s="14" t="n">
        <v>1</v>
      </c>
      <c r="E16" s="6" t="n">
        <v>33.05</v>
      </c>
    </row>
    <row r="17" customFormat="false" ht="15" hidden="false" customHeight="false" outlineLevel="0" collapsed="false">
      <c r="A17" s="4" t="s">
        <v>206</v>
      </c>
      <c r="B17" s="5" t="s">
        <v>207</v>
      </c>
      <c r="C17" s="4" t="s">
        <v>104</v>
      </c>
      <c r="D17" s="14" t="n">
        <v>1</v>
      </c>
      <c r="E17" s="6" t="n">
        <v>24.32</v>
      </c>
    </row>
    <row r="18" customFormat="false" ht="15" hidden="false" customHeight="false" outlineLevel="0" collapsed="false">
      <c r="A18" s="4" t="s">
        <v>208</v>
      </c>
      <c r="B18" s="5" t="s">
        <v>209</v>
      </c>
      <c r="C18" s="4" t="s">
        <v>104</v>
      </c>
      <c r="D18" s="14" t="n">
        <v>1</v>
      </c>
      <c r="E18" s="6" t="n">
        <v>28.85</v>
      </c>
    </row>
    <row r="19" customFormat="false" ht="15" hidden="false" customHeight="false" outlineLevel="0" collapsed="false">
      <c r="A19" s="4" t="s">
        <v>206</v>
      </c>
      <c r="B19" s="5" t="s">
        <v>207</v>
      </c>
      <c r="C19" s="4" t="s">
        <v>104</v>
      </c>
      <c r="D19" s="14" t="n">
        <v>1</v>
      </c>
      <c r="E19" s="6" t="n">
        <v>24.32</v>
      </c>
    </row>
    <row r="20" customFormat="false" ht="15" hidden="false" customHeight="false" outlineLevel="0" collapsed="false">
      <c r="A20" s="4" t="s">
        <v>210</v>
      </c>
      <c r="B20" s="5" t="s">
        <v>211</v>
      </c>
      <c r="C20" s="4" t="s">
        <v>212</v>
      </c>
      <c r="D20" s="14" t="n">
        <v>1</v>
      </c>
      <c r="E20" s="6" t="n">
        <v>92.58</v>
      </c>
    </row>
    <row r="21" customFormat="false" ht="15" hidden="false" customHeight="false" outlineLevel="0" collapsed="false">
      <c r="A21" s="4" t="s">
        <v>213</v>
      </c>
      <c r="B21" s="5" t="s">
        <v>214</v>
      </c>
      <c r="C21" s="4" t="s">
        <v>119</v>
      </c>
      <c r="D21" s="14" t="n">
        <v>4</v>
      </c>
      <c r="E21" s="6" t="n">
        <v>62.22</v>
      </c>
    </row>
    <row r="22" customFormat="false" ht="15" hidden="false" customHeight="false" outlineLevel="0" collapsed="false">
      <c r="A22" s="4" t="s">
        <v>213</v>
      </c>
      <c r="B22" s="5" t="s">
        <v>214</v>
      </c>
      <c r="C22" s="4" t="s">
        <v>119</v>
      </c>
      <c r="D22" s="14" t="n">
        <v>4</v>
      </c>
      <c r="E22" s="6" t="n">
        <v>62.22</v>
      </c>
    </row>
    <row r="23" customFormat="false" ht="15" hidden="false" customHeight="false" outlineLevel="0" collapsed="false">
      <c r="A23" s="4" t="s">
        <v>215</v>
      </c>
      <c r="B23" s="5" t="s">
        <v>216</v>
      </c>
      <c r="C23" s="4" t="s">
        <v>113</v>
      </c>
      <c r="D23" s="14" t="n">
        <v>6</v>
      </c>
      <c r="E23" s="6" t="n">
        <v>29.93</v>
      </c>
    </row>
    <row r="24" customFormat="false" ht="15" hidden="false" customHeight="false" outlineLevel="0" collapsed="false">
      <c r="A24" s="17" t="s">
        <v>217</v>
      </c>
      <c r="B24" s="18"/>
      <c r="C24" s="17" t="s">
        <v>10</v>
      </c>
      <c r="D24" s="19"/>
      <c r="E24" s="20"/>
    </row>
    <row r="25" customFormat="false" ht="15" hidden="false" customHeight="false" outlineLevel="0" collapsed="false">
      <c r="A25" s="4" t="s">
        <v>218</v>
      </c>
      <c r="B25" s="5" t="s">
        <v>219</v>
      </c>
      <c r="C25" s="4" t="s">
        <v>220</v>
      </c>
      <c r="D25" s="14" t="n">
        <v>1</v>
      </c>
      <c r="E25" s="6" t="n">
        <v>21.01</v>
      </c>
    </row>
    <row r="26" customFormat="false" ht="15" hidden="false" customHeight="false" outlineLevel="0" collapsed="false">
      <c r="A26" s="4" t="s">
        <v>180</v>
      </c>
      <c r="B26" s="5" t="s">
        <v>181</v>
      </c>
      <c r="C26" s="4" t="s">
        <v>182</v>
      </c>
      <c r="D26" s="14" t="n">
        <v>2</v>
      </c>
      <c r="E26" s="6" t="n">
        <v>55.24</v>
      </c>
    </row>
    <row r="27" customFormat="false" ht="15" hidden="false" customHeight="false" outlineLevel="0" collapsed="false">
      <c r="A27" s="4" t="s">
        <v>180</v>
      </c>
      <c r="B27" s="5" t="s">
        <v>181</v>
      </c>
      <c r="C27" s="4" t="s">
        <v>182</v>
      </c>
      <c r="D27" s="14" t="n">
        <v>2</v>
      </c>
      <c r="E27" s="6" t="n">
        <v>55.24</v>
      </c>
    </row>
    <row r="28" customFormat="false" ht="15" hidden="false" customHeight="false" outlineLevel="0" collapsed="false">
      <c r="A28" s="4" t="s">
        <v>221</v>
      </c>
      <c r="B28" s="5" t="s">
        <v>222</v>
      </c>
      <c r="C28" s="4"/>
      <c r="D28" s="14" t="n">
        <v>1</v>
      </c>
      <c r="E28" s="6" t="n">
        <v>15.56</v>
      </c>
    </row>
    <row r="29" customFormat="false" ht="15" hidden="false" customHeight="false" outlineLevel="0" collapsed="false">
      <c r="A29" s="4" t="s">
        <v>223</v>
      </c>
      <c r="B29" s="5" t="s">
        <v>224</v>
      </c>
      <c r="C29" s="4" t="s">
        <v>225</v>
      </c>
      <c r="D29" s="14"/>
      <c r="E29" s="6" t="n">
        <v>-1</v>
      </c>
    </row>
    <row r="30" customFormat="false" ht="15" hidden="false" customHeight="false" outlineLevel="0" collapsed="false">
      <c r="A30" s="4" t="s">
        <v>226</v>
      </c>
      <c r="B30" s="5" t="s">
        <v>227</v>
      </c>
      <c r="C30" s="4" t="s">
        <v>228</v>
      </c>
      <c r="D30" s="14" t="n">
        <v>36</v>
      </c>
      <c r="E30" s="6" t="n">
        <v>93</v>
      </c>
    </row>
    <row r="31" customFormat="false" ht="15" hidden="false" customHeight="false" outlineLevel="0" collapsed="false">
      <c r="A31" s="4" t="s">
        <v>229</v>
      </c>
      <c r="B31" s="5" t="s">
        <v>230</v>
      </c>
      <c r="C31" s="4" t="s">
        <v>104</v>
      </c>
      <c r="D31" s="14" t="n">
        <v>1</v>
      </c>
      <c r="E31" s="6" t="n">
        <v>3.04</v>
      </c>
    </row>
    <row r="32" customFormat="false" ht="15" hidden="false" customHeight="false" outlineLevel="0" collapsed="false">
      <c r="A32" s="15" t="s">
        <v>148</v>
      </c>
      <c r="B32" s="15"/>
      <c r="C32" s="15"/>
      <c r="D32" s="15"/>
      <c r="E32" s="16" t="n">
        <f aca="false">SUM(E11:E31)</f>
        <v>675.46</v>
      </c>
    </row>
    <row r="33" customFormat="false" ht="15" hidden="false" customHeight="false" outlineLevel="0" collapsed="false">
      <c r="A33" s="21" t="s">
        <v>231</v>
      </c>
      <c r="B33" s="21"/>
      <c r="C33" s="21"/>
      <c r="D33" s="21"/>
      <c r="E33" s="22" t="n">
        <v>1094.14</v>
      </c>
    </row>
  </sheetData>
  <mergeCells count="8">
    <mergeCell ref="A1:E1"/>
    <mergeCell ref="B3:E3"/>
    <mergeCell ref="B4:E4"/>
    <mergeCell ref="B5:E5"/>
    <mergeCell ref="B6:E6"/>
    <mergeCell ref="A7:E8"/>
    <mergeCell ref="A32:D3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232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150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233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234</v>
      </c>
      <c r="C6" s="12"/>
      <c r="D6" s="12"/>
      <c r="E6" s="12"/>
    </row>
    <row r="7" customFormat="false" ht="15" hidden="false" customHeight="true" outlineLevel="0" collapsed="false">
      <c r="A7" s="13" t="s">
        <v>235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236</v>
      </c>
      <c r="B11" s="5" t="s">
        <v>237</v>
      </c>
      <c r="C11" s="4" t="s">
        <v>104</v>
      </c>
      <c r="D11" s="14" t="n">
        <v>1</v>
      </c>
      <c r="E11" s="6" t="n">
        <v>2.19</v>
      </c>
    </row>
    <row r="12" customFormat="false" ht="15" hidden="false" customHeight="false" outlineLevel="0" collapsed="false">
      <c r="A12" s="4" t="s">
        <v>238</v>
      </c>
      <c r="B12" s="5" t="s">
        <v>239</v>
      </c>
      <c r="C12" s="4" t="s">
        <v>104</v>
      </c>
      <c r="D12" s="14" t="n">
        <v>1</v>
      </c>
      <c r="E12" s="6" t="n">
        <v>5.02</v>
      </c>
    </row>
    <row r="13" customFormat="false" ht="15" hidden="false" customHeight="false" outlineLevel="0" collapsed="false">
      <c r="A13" s="4" t="s">
        <v>240</v>
      </c>
      <c r="B13" s="5" t="s">
        <v>241</v>
      </c>
      <c r="C13" s="4" t="s">
        <v>242</v>
      </c>
      <c r="D13" s="14" t="n">
        <v>2</v>
      </c>
      <c r="E13" s="6" t="n">
        <v>27.22</v>
      </c>
    </row>
    <row r="14" customFormat="false" ht="15" hidden="false" customHeight="false" outlineLevel="0" collapsed="false">
      <c r="A14" s="4" t="s">
        <v>243</v>
      </c>
      <c r="B14" s="5" t="s">
        <v>244</v>
      </c>
      <c r="C14" s="4" t="s">
        <v>104</v>
      </c>
      <c r="D14" s="14" t="n">
        <v>1</v>
      </c>
      <c r="E14" s="6" t="n">
        <v>9.21</v>
      </c>
    </row>
    <row r="15" customFormat="false" ht="15" hidden="false" customHeight="false" outlineLevel="0" collapsed="false">
      <c r="A15" s="4" t="s">
        <v>245</v>
      </c>
      <c r="B15" s="5" t="s">
        <v>246</v>
      </c>
      <c r="C15" s="4" t="s">
        <v>104</v>
      </c>
      <c r="D15" s="14" t="n">
        <v>1</v>
      </c>
      <c r="E15" s="6" t="n">
        <v>9.21</v>
      </c>
    </row>
    <row r="16" customFormat="false" ht="15" hidden="false" customHeight="false" outlineLevel="0" collapsed="false">
      <c r="A16" s="4" t="s">
        <v>247</v>
      </c>
      <c r="B16" s="5" t="s">
        <v>248</v>
      </c>
      <c r="C16" s="4"/>
      <c r="D16" s="14" t="n">
        <v>1</v>
      </c>
      <c r="E16" s="6" t="n">
        <v>17.49</v>
      </c>
    </row>
    <row r="17" customFormat="false" ht="15" hidden="false" customHeight="false" outlineLevel="0" collapsed="false">
      <c r="A17" s="4" t="s">
        <v>247</v>
      </c>
      <c r="B17" s="5" t="s">
        <v>248</v>
      </c>
      <c r="C17" s="4"/>
      <c r="D17" s="14" t="n">
        <v>1</v>
      </c>
      <c r="E17" s="6" t="n">
        <v>17.49</v>
      </c>
    </row>
    <row r="18" customFormat="false" ht="15" hidden="false" customHeight="false" outlineLevel="0" collapsed="false">
      <c r="A18" s="4" t="s">
        <v>155</v>
      </c>
      <c r="B18" s="5" t="s">
        <v>156</v>
      </c>
      <c r="C18" s="4" t="s">
        <v>113</v>
      </c>
      <c r="D18" s="14" t="n">
        <v>6</v>
      </c>
      <c r="E18" s="6" t="n">
        <v>35.32</v>
      </c>
    </row>
    <row r="19" customFormat="false" ht="15" hidden="false" customHeight="false" outlineLevel="0" collapsed="false">
      <c r="A19" s="4" t="s">
        <v>249</v>
      </c>
      <c r="B19" s="5" t="s">
        <v>250</v>
      </c>
      <c r="C19" s="4" t="s">
        <v>104</v>
      </c>
      <c r="D19" s="14" t="n">
        <v>1</v>
      </c>
      <c r="E19" s="6" t="n">
        <v>4.52</v>
      </c>
    </row>
    <row r="20" customFormat="false" ht="15" hidden="false" customHeight="false" outlineLevel="0" collapsed="false">
      <c r="A20" s="4" t="s">
        <v>251</v>
      </c>
      <c r="B20" s="5" t="s">
        <v>252</v>
      </c>
      <c r="C20" s="4" t="s">
        <v>104</v>
      </c>
      <c r="D20" s="14" t="n">
        <v>1</v>
      </c>
      <c r="E20" s="6" t="n">
        <v>10.92</v>
      </c>
    </row>
    <row r="21" customFormat="false" ht="15" hidden="false" customHeight="false" outlineLevel="0" collapsed="false">
      <c r="A21" s="4" t="s">
        <v>253</v>
      </c>
      <c r="B21" s="5" t="s">
        <v>254</v>
      </c>
      <c r="C21" s="4" t="s">
        <v>104</v>
      </c>
      <c r="D21" s="14" t="n">
        <v>1</v>
      </c>
      <c r="E21" s="6" t="n">
        <v>9.95</v>
      </c>
    </row>
    <row r="22" customFormat="false" ht="15" hidden="false" customHeight="false" outlineLevel="0" collapsed="false">
      <c r="A22" s="4" t="s">
        <v>253</v>
      </c>
      <c r="B22" s="5"/>
      <c r="C22" s="4" t="s">
        <v>162</v>
      </c>
      <c r="D22" s="14" t="n">
        <v>1</v>
      </c>
      <c r="E22" s="6"/>
    </row>
    <row r="23" customFormat="false" ht="15" hidden="false" customHeight="false" outlineLevel="0" collapsed="false">
      <c r="A23" s="4" t="s">
        <v>255</v>
      </c>
      <c r="B23" s="5" t="s">
        <v>256</v>
      </c>
      <c r="C23" s="4" t="s">
        <v>104</v>
      </c>
      <c r="D23" s="14" t="n">
        <v>1</v>
      </c>
      <c r="E23" s="6" t="n">
        <v>2.95</v>
      </c>
    </row>
    <row r="24" customFormat="false" ht="15" hidden="false" customHeight="false" outlineLevel="0" collapsed="false">
      <c r="A24" s="4" t="s">
        <v>159</v>
      </c>
      <c r="B24" s="5" t="s">
        <v>160</v>
      </c>
      <c r="C24" s="4"/>
      <c r="D24" s="14" t="n">
        <v>1</v>
      </c>
      <c r="E24" s="6" t="n">
        <v>8.02</v>
      </c>
    </row>
    <row r="25" customFormat="false" ht="15" hidden="false" customHeight="false" outlineLevel="0" collapsed="false">
      <c r="A25" s="4" t="s">
        <v>195</v>
      </c>
      <c r="B25" s="5" t="s">
        <v>257</v>
      </c>
      <c r="C25" s="4" t="s">
        <v>116</v>
      </c>
      <c r="D25" s="14" t="n">
        <v>8</v>
      </c>
      <c r="E25" s="6" t="n">
        <v>22.77</v>
      </c>
    </row>
    <row r="26" customFormat="false" ht="15" hidden="false" customHeight="false" outlineLevel="0" collapsed="false">
      <c r="A26" s="4" t="s">
        <v>173</v>
      </c>
      <c r="B26" s="5" t="s">
        <v>174</v>
      </c>
      <c r="C26" s="4"/>
      <c r="D26" s="14" t="n">
        <v>1</v>
      </c>
      <c r="E26" s="6" t="n">
        <v>26.99</v>
      </c>
    </row>
    <row r="27" customFormat="false" ht="15" hidden="false" customHeight="false" outlineLevel="0" collapsed="false">
      <c r="A27" s="4" t="s">
        <v>258</v>
      </c>
      <c r="B27" s="5" t="s">
        <v>259</v>
      </c>
      <c r="C27" s="4"/>
      <c r="D27" s="14" t="n">
        <v>1</v>
      </c>
      <c r="E27" s="6" t="n">
        <v>35.95</v>
      </c>
    </row>
    <row r="28" customFormat="false" ht="15" hidden="false" customHeight="false" outlineLevel="0" collapsed="false">
      <c r="A28" s="4" t="s">
        <v>189</v>
      </c>
      <c r="B28" s="5" t="s">
        <v>190</v>
      </c>
      <c r="C28" s="4"/>
      <c r="D28" s="14" t="n">
        <v>1</v>
      </c>
      <c r="E28" s="6" t="n">
        <v>29.95</v>
      </c>
    </row>
    <row r="29" customFormat="false" ht="15" hidden="false" customHeight="false" outlineLevel="0" collapsed="false">
      <c r="A29" s="4" t="s">
        <v>189</v>
      </c>
      <c r="B29" s="5" t="s">
        <v>190</v>
      </c>
      <c r="C29" s="4"/>
      <c r="D29" s="14" t="n">
        <v>1</v>
      </c>
      <c r="E29" s="6" t="n">
        <v>29.95</v>
      </c>
    </row>
    <row r="30" customFormat="false" ht="15" hidden="false" customHeight="false" outlineLevel="0" collapsed="false">
      <c r="A30" s="4" t="s">
        <v>260</v>
      </c>
      <c r="B30" s="5" t="s">
        <v>261</v>
      </c>
      <c r="C30" s="4" t="s">
        <v>104</v>
      </c>
      <c r="D30" s="14" t="n">
        <v>1</v>
      </c>
      <c r="E30" s="6" t="n">
        <v>1.96</v>
      </c>
    </row>
    <row r="31" customFormat="false" ht="15" hidden="false" customHeight="false" outlineLevel="0" collapsed="false">
      <c r="A31" s="4" t="s">
        <v>260</v>
      </c>
      <c r="B31" s="5" t="s">
        <v>261</v>
      </c>
      <c r="C31" s="4" t="s">
        <v>104</v>
      </c>
      <c r="D31" s="14" t="n">
        <v>1</v>
      </c>
      <c r="E31" s="6" t="n">
        <v>1.96</v>
      </c>
    </row>
    <row r="32" customFormat="false" ht="15" hidden="false" customHeight="false" outlineLevel="0" collapsed="false">
      <c r="A32" s="4" t="s">
        <v>260</v>
      </c>
      <c r="B32" s="5" t="s">
        <v>261</v>
      </c>
      <c r="C32" s="4" t="s">
        <v>104</v>
      </c>
      <c r="D32" s="14" t="n">
        <v>1</v>
      </c>
      <c r="E32" s="6" t="n">
        <v>1.96</v>
      </c>
    </row>
    <row r="33" customFormat="false" ht="15" hidden="false" customHeight="false" outlineLevel="0" collapsed="false">
      <c r="A33" s="4" t="s">
        <v>260</v>
      </c>
      <c r="B33" s="5" t="s">
        <v>261</v>
      </c>
      <c r="C33" s="4" t="s">
        <v>104</v>
      </c>
      <c r="D33" s="14" t="n">
        <v>1</v>
      </c>
      <c r="E33" s="6" t="n">
        <v>1.96</v>
      </c>
    </row>
    <row r="34" customFormat="false" ht="15" hidden="false" customHeight="false" outlineLevel="0" collapsed="false">
      <c r="A34" s="4" t="s">
        <v>262</v>
      </c>
      <c r="B34" s="5" t="s">
        <v>263</v>
      </c>
      <c r="C34" s="4"/>
      <c r="D34" s="14" t="n">
        <v>1</v>
      </c>
      <c r="E34" s="6" t="n">
        <v>7.55</v>
      </c>
    </row>
    <row r="35" customFormat="false" ht="15" hidden="false" customHeight="false" outlineLevel="0" collapsed="false">
      <c r="A35" s="4" t="s">
        <v>264</v>
      </c>
      <c r="B35" s="5" t="s">
        <v>265</v>
      </c>
      <c r="C35" s="4"/>
      <c r="D35" s="14" t="n">
        <v>1</v>
      </c>
      <c r="E35" s="6" t="n">
        <v>9.01</v>
      </c>
    </row>
    <row r="36" customFormat="false" ht="15" hidden="false" customHeight="false" outlineLevel="0" collapsed="false">
      <c r="A36" s="4" t="s">
        <v>266</v>
      </c>
      <c r="B36" s="5" t="s">
        <v>267</v>
      </c>
      <c r="C36" s="4" t="s">
        <v>119</v>
      </c>
      <c r="D36" s="14" t="n">
        <v>4</v>
      </c>
      <c r="E36" s="6" t="n">
        <v>24.93</v>
      </c>
    </row>
    <row r="37" customFormat="false" ht="15" hidden="false" customHeight="false" outlineLevel="0" collapsed="false">
      <c r="A37" s="4" t="s">
        <v>266</v>
      </c>
      <c r="B37" s="5" t="s">
        <v>267</v>
      </c>
      <c r="C37" s="4" t="s">
        <v>119</v>
      </c>
      <c r="D37" s="14" t="n">
        <v>4</v>
      </c>
      <c r="E37" s="6" t="n">
        <v>24.93</v>
      </c>
    </row>
    <row r="38" customFormat="false" ht="15" hidden="false" customHeight="false" outlineLevel="0" collapsed="false">
      <c r="A38" s="4" t="s">
        <v>268</v>
      </c>
      <c r="B38" s="5" t="s">
        <v>269</v>
      </c>
      <c r="C38" s="4"/>
      <c r="D38" s="14" t="n">
        <v>1</v>
      </c>
      <c r="E38" s="6" t="n">
        <v>39.78</v>
      </c>
    </row>
    <row r="39" customFormat="false" ht="15" hidden="false" customHeight="false" outlineLevel="0" collapsed="false">
      <c r="A39" s="4" t="s">
        <v>270</v>
      </c>
      <c r="B39" s="5" t="s">
        <v>271</v>
      </c>
      <c r="C39" s="4"/>
      <c r="D39" s="14" t="n">
        <v>1</v>
      </c>
      <c r="E39" s="6" t="n">
        <v>20.51</v>
      </c>
    </row>
    <row r="40" customFormat="false" ht="15" hidden="false" customHeight="false" outlineLevel="0" collapsed="false">
      <c r="A40" s="4" t="s">
        <v>272</v>
      </c>
      <c r="B40" s="5" t="s">
        <v>273</v>
      </c>
      <c r="C40" s="4"/>
      <c r="D40" s="14" t="n">
        <v>1</v>
      </c>
      <c r="E40" s="6" t="n">
        <v>25.58</v>
      </c>
    </row>
    <row r="41" customFormat="false" ht="15" hidden="false" customHeight="false" outlineLevel="0" collapsed="false">
      <c r="A41" s="4" t="s">
        <v>274</v>
      </c>
      <c r="B41" s="5" t="s">
        <v>275</v>
      </c>
      <c r="C41" s="4"/>
      <c r="D41" s="14" t="n">
        <v>1</v>
      </c>
      <c r="E41" s="6" t="n">
        <v>46.95</v>
      </c>
    </row>
    <row r="42" customFormat="false" ht="15" hidden="false" customHeight="false" outlineLevel="0" collapsed="false">
      <c r="A42" s="4" t="s">
        <v>163</v>
      </c>
      <c r="B42" s="5" t="s">
        <v>164</v>
      </c>
      <c r="C42" s="4"/>
      <c r="D42" s="14" t="n">
        <v>1</v>
      </c>
      <c r="E42" s="6" t="n">
        <v>16.98</v>
      </c>
    </row>
    <row r="43" customFormat="false" ht="15" hidden="false" customHeight="false" outlineLevel="0" collapsed="false">
      <c r="A43" s="4" t="s">
        <v>130</v>
      </c>
      <c r="B43" s="5" t="s">
        <v>131</v>
      </c>
      <c r="C43" s="4"/>
      <c r="D43" s="14" t="n">
        <v>1</v>
      </c>
      <c r="E43" s="6" t="n">
        <v>7.48</v>
      </c>
    </row>
    <row r="44" customFormat="false" ht="15" hidden="false" customHeight="false" outlineLevel="0" collapsed="false">
      <c r="A44" s="4" t="s">
        <v>130</v>
      </c>
      <c r="B44" s="5" t="s">
        <v>131</v>
      </c>
      <c r="C44" s="4"/>
      <c r="D44" s="14" t="n">
        <v>1</v>
      </c>
      <c r="E44" s="6" t="n">
        <v>7.48</v>
      </c>
    </row>
    <row r="45" customFormat="false" ht="15" hidden="false" customHeight="false" outlineLevel="0" collapsed="false">
      <c r="A45" s="17" t="s">
        <v>276</v>
      </c>
      <c r="B45" s="18"/>
      <c r="C45" s="17" t="s">
        <v>10</v>
      </c>
      <c r="D45" s="19"/>
      <c r="E45" s="20"/>
    </row>
    <row r="46" customFormat="false" ht="15" hidden="false" customHeight="false" outlineLevel="0" collapsed="false">
      <c r="A46" s="4" t="s">
        <v>277</v>
      </c>
      <c r="B46" s="5" t="s">
        <v>278</v>
      </c>
      <c r="C46" s="4" t="s">
        <v>113</v>
      </c>
      <c r="D46" s="14" t="n">
        <v>6</v>
      </c>
      <c r="E46" s="6" t="n">
        <v>58.24</v>
      </c>
    </row>
    <row r="47" customFormat="false" ht="15" hidden="false" customHeight="false" outlineLevel="0" collapsed="false">
      <c r="A47" s="4" t="s">
        <v>279</v>
      </c>
      <c r="B47" s="5" t="s">
        <v>280</v>
      </c>
      <c r="C47" s="4"/>
      <c r="D47" s="14" t="n">
        <v>1</v>
      </c>
      <c r="E47" s="6" t="n">
        <v>54.85</v>
      </c>
    </row>
    <row r="48" customFormat="false" ht="15" hidden="false" customHeight="false" outlineLevel="0" collapsed="false">
      <c r="A48" s="4" t="s">
        <v>279</v>
      </c>
      <c r="B48" s="5" t="s">
        <v>280</v>
      </c>
      <c r="C48" s="4"/>
      <c r="D48" s="14" t="n">
        <v>1</v>
      </c>
      <c r="E48" s="6" t="n">
        <v>54.85</v>
      </c>
    </row>
    <row r="49" customFormat="false" ht="15" hidden="false" customHeight="false" outlineLevel="0" collapsed="false">
      <c r="A49" s="4" t="s">
        <v>279</v>
      </c>
      <c r="B49" s="5" t="s">
        <v>280</v>
      </c>
      <c r="C49" s="4"/>
      <c r="D49" s="14" t="n">
        <v>1</v>
      </c>
      <c r="E49" s="6" t="n">
        <v>54.85</v>
      </c>
    </row>
    <row r="50" customFormat="false" ht="15" hidden="false" customHeight="false" outlineLevel="0" collapsed="false">
      <c r="A50" s="4" t="s">
        <v>279</v>
      </c>
      <c r="B50" s="5" t="s">
        <v>280</v>
      </c>
      <c r="C50" s="4"/>
      <c r="D50" s="14" t="n">
        <v>1</v>
      </c>
      <c r="E50" s="6" t="n">
        <v>54.85</v>
      </c>
    </row>
    <row r="51" customFormat="false" ht="15" hidden="false" customHeight="false" outlineLevel="0" collapsed="false">
      <c r="A51" s="4" t="s">
        <v>281</v>
      </c>
      <c r="B51" s="5" t="s">
        <v>282</v>
      </c>
      <c r="C51" s="4" t="s">
        <v>283</v>
      </c>
      <c r="D51" s="14" t="n">
        <v>1</v>
      </c>
      <c r="E51" s="6" t="n">
        <v>24.95</v>
      </c>
    </row>
    <row r="52" customFormat="false" ht="15" hidden="false" customHeight="false" outlineLevel="0" collapsed="false">
      <c r="A52" s="4" t="s">
        <v>281</v>
      </c>
      <c r="B52" s="5" t="s">
        <v>284</v>
      </c>
      <c r="C52" s="4" t="s">
        <v>285</v>
      </c>
      <c r="D52" s="14" t="n">
        <v>1</v>
      </c>
      <c r="E52" s="6" t="n">
        <v>25.69</v>
      </c>
    </row>
    <row r="53" customFormat="false" ht="15" hidden="false" customHeight="false" outlineLevel="0" collapsed="false">
      <c r="A53" s="4" t="s">
        <v>274</v>
      </c>
      <c r="B53" s="5" t="s">
        <v>275</v>
      </c>
      <c r="C53" s="4"/>
      <c r="D53" s="14" t="n">
        <v>1</v>
      </c>
      <c r="E53" s="6" t="n">
        <v>34.95</v>
      </c>
    </row>
    <row r="54" customFormat="false" ht="15" hidden="false" customHeight="false" outlineLevel="0" collapsed="false">
      <c r="A54" s="4" t="s">
        <v>270</v>
      </c>
      <c r="B54" s="5" t="s">
        <v>271</v>
      </c>
      <c r="C54" s="4"/>
      <c r="D54" s="14" t="n">
        <v>1</v>
      </c>
      <c r="E54" s="6" t="n">
        <v>16.86</v>
      </c>
    </row>
    <row r="55" customFormat="false" ht="15" hidden="false" customHeight="false" outlineLevel="0" collapsed="false">
      <c r="A55" s="15" t="s">
        <v>148</v>
      </c>
      <c r="B55" s="15"/>
      <c r="C55" s="15"/>
      <c r="D55" s="15"/>
      <c r="E55" s="16" t="n">
        <f aca="false">SUM(E11:E54)</f>
        <v>924.23</v>
      </c>
    </row>
    <row r="56" customFormat="false" ht="15" hidden="false" customHeight="false" outlineLevel="0" collapsed="false">
      <c r="A56" s="21" t="s">
        <v>231</v>
      </c>
      <c r="B56" s="21"/>
      <c r="C56" s="21"/>
      <c r="D56" s="21"/>
      <c r="E56" s="22" t="n">
        <v>3524.35</v>
      </c>
    </row>
  </sheetData>
  <mergeCells count="8">
    <mergeCell ref="A1:E1"/>
    <mergeCell ref="B3:E3"/>
    <mergeCell ref="B4:E4"/>
    <mergeCell ref="B5:E5"/>
    <mergeCell ref="B6:E6"/>
    <mergeCell ref="A7:E8"/>
    <mergeCell ref="A55:D55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286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150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287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288</v>
      </c>
      <c r="C6" s="12"/>
      <c r="D6" s="12"/>
      <c r="E6" s="12"/>
    </row>
    <row r="7" customFormat="false" ht="15" hidden="false" customHeight="true" outlineLevel="0" collapsed="false">
      <c r="A7" s="13" t="s">
        <v>289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290</v>
      </c>
      <c r="B11" s="5" t="s">
        <v>291</v>
      </c>
      <c r="C11" s="4" t="s">
        <v>292</v>
      </c>
      <c r="D11" s="14" t="n">
        <v>1</v>
      </c>
      <c r="E11" s="6" t="n">
        <v>15</v>
      </c>
    </row>
    <row r="12" customFormat="false" ht="15" hidden="false" customHeight="false" outlineLevel="0" collapsed="false">
      <c r="A12" s="4" t="s">
        <v>290</v>
      </c>
      <c r="B12" s="5" t="s">
        <v>291</v>
      </c>
      <c r="C12" s="4" t="s">
        <v>292</v>
      </c>
      <c r="D12" s="14" t="n">
        <v>1</v>
      </c>
      <c r="E12" s="6" t="n">
        <v>15</v>
      </c>
    </row>
    <row r="13" customFormat="false" ht="15" hidden="false" customHeight="false" outlineLevel="0" collapsed="false">
      <c r="A13" s="4" t="s">
        <v>293</v>
      </c>
      <c r="B13" s="5" t="s">
        <v>294</v>
      </c>
      <c r="C13" s="4" t="s">
        <v>295</v>
      </c>
      <c r="D13" s="14" t="n">
        <v>1</v>
      </c>
      <c r="E13" s="6" t="n">
        <v>16.86</v>
      </c>
    </row>
    <row r="14" customFormat="false" ht="15" hidden="false" customHeight="false" outlineLevel="0" collapsed="false">
      <c r="A14" s="4" t="s">
        <v>296</v>
      </c>
      <c r="B14" s="5" t="s">
        <v>297</v>
      </c>
      <c r="C14" s="4" t="s">
        <v>119</v>
      </c>
      <c r="D14" s="14" t="n">
        <v>4</v>
      </c>
      <c r="E14" s="6" t="n">
        <v>64.9</v>
      </c>
    </row>
    <row r="15" customFormat="false" ht="15" hidden="false" customHeight="false" outlineLevel="0" collapsed="false">
      <c r="A15" s="4" t="s">
        <v>296</v>
      </c>
      <c r="B15" s="5" t="s">
        <v>297</v>
      </c>
      <c r="C15" s="4" t="s">
        <v>119</v>
      </c>
      <c r="D15" s="14" t="n">
        <v>4</v>
      </c>
      <c r="E15" s="6" t="n">
        <v>64.9</v>
      </c>
    </row>
    <row r="16" customFormat="false" ht="15" hidden="false" customHeight="false" outlineLevel="0" collapsed="false">
      <c r="A16" s="4" t="s">
        <v>298</v>
      </c>
      <c r="B16" s="5" t="s">
        <v>299</v>
      </c>
      <c r="C16" s="4" t="s">
        <v>119</v>
      </c>
      <c r="D16" s="14" t="n">
        <v>4</v>
      </c>
      <c r="E16" s="6" t="n">
        <v>58.68</v>
      </c>
    </row>
    <row r="17" customFormat="false" ht="15" hidden="false" customHeight="false" outlineLevel="0" collapsed="false">
      <c r="A17" s="4" t="s">
        <v>300</v>
      </c>
      <c r="B17" s="5" t="s">
        <v>301</v>
      </c>
      <c r="C17" s="4" t="s">
        <v>119</v>
      </c>
      <c r="D17" s="14" t="n">
        <v>4</v>
      </c>
      <c r="E17" s="6" t="n">
        <v>99.6</v>
      </c>
    </row>
    <row r="18" customFormat="false" ht="15" hidden="false" customHeight="false" outlineLevel="0" collapsed="false">
      <c r="A18" s="4" t="s">
        <v>302</v>
      </c>
      <c r="B18" s="5" t="s">
        <v>303</v>
      </c>
      <c r="C18" s="4" t="s">
        <v>104</v>
      </c>
      <c r="D18" s="14" t="n">
        <v>1</v>
      </c>
      <c r="E18" s="6" t="n">
        <v>8.94</v>
      </c>
    </row>
    <row r="19" customFormat="false" ht="15" hidden="false" customHeight="false" outlineLevel="0" collapsed="false">
      <c r="A19" s="4" t="s">
        <v>304</v>
      </c>
      <c r="B19" s="5" t="s">
        <v>305</v>
      </c>
      <c r="C19" s="4" t="s">
        <v>113</v>
      </c>
      <c r="D19" s="14" t="n">
        <v>6</v>
      </c>
      <c r="E19" s="6" t="n">
        <v>31.43</v>
      </c>
    </row>
    <row r="20" customFormat="false" ht="15" hidden="false" customHeight="false" outlineLevel="0" collapsed="false">
      <c r="A20" s="4" t="s">
        <v>306</v>
      </c>
      <c r="B20" s="5" t="s">
        <v>307</v>
      </c>
      <c r="C20" s="4" t="s">
        <v>308</v>
      </c>
      <c r="D20" s="14" t="n">
        <v>1</v>
      </c>
      <c r="E20" s="6" t="n">
        <v>23.4</v>
      </c>
    </row>
    <row r="21" customFormat="false" ht="15" hidden="false" customHeight="false" outlineLevel="0" collapsed="false">
      <c r="A21" s="17" t="s">
        <v>309</v>
      </c>
      <c r="B21" s="18"/>
      <c r="C21" s="17" t="s">
        <v>10</v>
      </c>
      <c r="D21" s="19"/>
      <c r="E21" s="20"/>
    </row>
    <row r="22" customFormat="false" ht="15" hidden="false" customHeight="false" outlineLevel="0" collapsed="false">
      <c r="A22" s="15" t="s">
        <v>148</v>
      </c>
      <c r="B22" s="15"/>
      <c r="C22" s="15"/>
      <c r="D22" s="15"/>
      <c r="E22" s="16" t="n">
        <f aca="false">SUM(E11:E21)</f>
        <v>398.71</v>
      </c>
    </row>
  </sheetData>
  <mergeCells count="7">
    <mergeCell ref="A1:E1"/>
    <mergeCell ref="B3:E3"/>
    <mergeCell ref="B4:E4"/>
    <mergeCell ref="B5:E5"/>
    <mergeCell ref="B6:E6"/>
    <mergeCell ref="A7:E8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310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150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311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312</v>
      </c>
      <c r="C6" s="12"/>
      <c r="D6" s="12"/>
      <c r="E6" s="12"/>
    </row>
    <row r="7" customFormat="false" ht="15" hidden="false" customHeight="true" outlineLevel="0" collapsed="false">
      <c r="A7" s="13" t="s">
        <v>313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314</v>
      </c>
      <c r="B11" s="5" t="s">
        <v>315</v>
      </c>
      <c r="C11" s="4" t="s">
        <v>316</v>
      </c>
      <c r="D11" s="14" t="n">
        <v>1</v>
      </c>
      <c r="E11" s="6" t="n">
        <v>34.95</v>
      </c>
    </row>
    <row r="12" customFormat="false" ht="15" hidden="false" customHeight="false" outlineLevel="0" collapsed="false">
      <c r="A12" s="17" t="s">
        <v>317</v>
      </c>
      <c r="B12" s="18"/>
      <c r="C12" s="17" t="s">
        <v>10</v>
      </c>
      <c r="D12" s="19"/>
      <c r="E12" s="20"/>
    </row>
    <row r="13" customFormat="false" ht="15" hidden="false" customHeight="false" outlineLevel="0" collapsed="false">
      <c r="A13" s="4" t="s">
        <v>171</v>
      </c>
      <c r="B13" s="5" t="s">
        <v>172</v>
      </c>
      <c r="C13" s="4" t="s">
        <v>104</v>
      </c>
      <c r="D13" s="14" t="n">
        <v>1</v>
      </c>
      <c r="E13" s="6" t="n">
        <v>7.81</v>
      </c>
    </row>
    <row r="14" customFormat="false" ht="15" hidden="false" customHeight="false" outlineLevel="0" collapsed="false">
      <c r="A14" s="4" t="s">
        <v>171</v>
      </c>
      <c r="B14" s="5" t="s">
        <v>172</v>
      </c>
      <c r="C14" s="4" t="s">
        <v>104</v>
      </c>
      <c r="D14" s="14" t="n">
        <v>1</v>
      </c>
      <c r="E14" s="6" t="n">
        <v>7.81</v>
      </c>
    </row>
    <row r="15" customFormat="false" ht="15" hidden="false" customHeight="false" outlineLevel="0" collapsed="false">
      <c r="A15" s="4" t="s">
        <v>171</v>
      </c>
      <c r="B15" s="5" t="s">
        <v>172</v>
      </c>
      <c r="C15" s="4" t="s">
        <v>104</v>
      </c>
      <c r="D15" s="14" t="n">
        <v>1</v>
      </c>
      <c r="E15" s="6" t="n">
        <v>7.81</v>
      </c>
    </row>
    <row r="16" customFormat="false" ht="15" hidden="false" customHeight="false" outlineLevel="0" collapsed="false">
      <c r="A16" s="4" t="s">
        <v>171</v>
      </c>
      <c r="B16" s="5" t="s">
        <v>172</v>
      </c>
      <c r="C16" s="4" t="s">
        <v>104</v>
      </c>
      <c r="D16" s="14" t="n">
        <v>1</v>
      </c>
      <c r="E16" s="6" t="n">
        <v>7.81</v>
      </c>
    </row>
    <row r="17" customFormat="false" ht="15" hidden="false" customHeight="false" outlineLevel="0" collapsed="false">
      <c r="A17" s="4" t="s">
        <v>318</v>
      </c>
      <c r="B17" s="5" t="s">
        <v>319</v>
      </c>
      <c r="C17" s="4"/>
      <c r="D17" s="14" t="n">
        <v>1</v>
      </c>
      <c r="E17" s="6" t="n">
        <v>39.95</v>
      </c>
    </row>
    <row r="18" customFormat="false" ht="15" hidden="false" customHeight="false" outlineLevel="0" collapsed="false">
      <c r="A18" s="4" t="s">
        <v>266</v>
      </c>
      <c r="B18" s="5" t="s">
        <v>267</v>
      </c>
      <c r="C18" s="4" t="s">
        <v>119</v>
      </c>
      <c r="D18" s="14" t="n">
        <v>4</v>
      </c>
      <c r="E18" s="6" t="n">
        <v>19.8</v>
      </c>
    </row>
    <row r="19" customFormat="false" ht="15" hidden="false" customHeight="false" outlineLevel="0" collapsed="false">
      <c r="A19" s="4" t="s">
        <v>266</v>
      </c>
      <c r="B19" s="5" t="s">
        <v>267</v>
      </c>
      <c r="C19" s="4" t="s">
        <v>119</v>
      </c>
      <c r="D19" s="14" t="n">
        <v>4</v>
      </c>
      <c r="E19" s="6" t="n">
        <v>19.8</v>
      </c>
    </row>
    <row r="20" customFormat="false" ht="15" hidden="false" customHeight="false" outlineLevel="0" collapsed="false">
      <c r="A20" s="4" t="s">
        <v>320</v>
      </c>
      <c r="B20" s="5" t="s">
        <v>321</v>
      </c>
      <c r="C20" s="4" t="s">
        <v>113</v>
      </c>
      <c r="D20" s="14" t="n">
        <v>6</v>
      </c>
      <c r="E20" s="6" t="n">
        <v>63</v>
      </c>
    </row>
    <row r="21" customFormat="false" ht="15" hidden="false" customHeight="false" outlineLevel="0" collapsed="false">
      <c r="A21" s="4" t="s">
        <v>274</v>
      </c>
      <c r="B21" s="5" t="s">
        <v>275</v>
      </c>
      <c r="C21" s="4"/>
      <c r="D21" s="14" t="n">
        <v>1</v>
      </c>
      <c r="E21" s="6" t="n">
        <v>48.95</v>
      </c>
    </row>
    <row r="22" customFormat="false" ht="15" hidden="false" customHeight="false" outlineLevel="0" collapsed="false">
      <c r="A22" s="4" t="s">
        <v>322</v>
      </c>
      <c r="B22" s="5" t="s">
        <v>323</v>
      </c>
      <c r="C22" s="4"/>
      <c r="D22" s="14" t="n">
        <v>1</v>
      </c>
      <c r="E22" s="6" t="n">
        <v>28.68</v>
      </c>
    </row>
    <row r="23" customFormat="false" ht="15" hidden="false" customHeight="false" outlineLevel="0" collapsed="false">
      <c r="A23" s="4" t="s">
        <v>322</v>
      </c>
      <c r="B23" s="5" t="s">
        <v>323</v>
      </c>
      <c r="C23" s="4"/>
      <c r="D23" s="14" t="n">
        <v>1</v>
      </c>
      <c r="E23" s="6" t="n">
        <v>28.68</v>
      </c>
    </row>
    <row r="24" customFormat="false" ht="15" hidden="false" customHeight="false" outlineLevel="0" collapsed="false">
      <c r="A24" s="4" t="s">
        <v>202</v>
      </c>
      <c r="B24" s="5" t="s">
        <v>203</v>
      </c>
      <c r="C24" s="4"/>
      <c r="D24" s="14" t="n">
        <v>1</v>
      </c>
      <c r="E24" s="6" t="n">
        <v>40.69</v>
      </c>
    </row>
    <row r="25" customFormat="false" ht="15" hidden="false" customHeight="false" outlineLevel="0" collapsed="false">
      <c r="A25" s="4" t="s">
        <v>324</v>
      </c>
      <c r="B25" s="5" t="s">
        <v>325</v>
      </c>
      <c r="C25" s="4"/>
      <c r="D25" s="14" t="n">
        <v>1</v>
      </c>
      <c r="E25" s="6" t="n">
        <v>5.23</v>
      </c>
    </row>
    <row r="26" customFormat="false" ht="15" hidden="false" customHeight="false" outlineLevel="0" collapsed="false">
      <c r="A26" s="4" t="s">
        <v>281</v>
      </c>
      <c r="B26" s="5" t="s">
        <v>326</v>
      </c>
      <c r="C26" s="4" t="s">
        <v>327</v>
      </c>
      <c r="D26" s="14" t="n">
        <v>1</v>
      </c>
      <c r="E26" s="6" t="n">
        <v>22.73</v>
      </c>
    </row>
    <row r="27" customFormat="false" ht="15" hidden="false" customHeight="false" outlineLevel="0" collapsed="false">
      <c r="A27" s="4" t="s">
        <v>281</v>
      </c>
      <c r="B27" s="5" t="s">
        <v>328</v>
      </c>
      <c r="C27" s="4" t="s">
        <v>329</v>
      </c>
      <c r="D27" s="14" t="n">
        <v>1</v>
      </c>
      <c r="E27" s="6" t="n">
        <v>25.18</v>
      </c>
    </row>
    <row r="28" customFormat="false" ht="15" hidden="false" customHeight="false" outlineLevel="0" collapsed="false">
      <c r="A28" s="4" t="s">
        <v>281</v>
      </c>
      <c r="B28" s="5" t="s">
        <v>330</v>
      </c>
      <c r="C28" s="4" t="s">
        <v>331</v>
      </c>
      <c r="D28" s="14" t="n">
        <v>1</v>
      </c>
      <c r="E28" s="6" t="n">
        <v>23.6</v>
      </c>
    </row>
    <row r="29" customFormat="false" ht="15" hidden="false" customHeight="false" outlineLevel="0" collapsed="false">
      <c r="A29" s="15" t="s">
        <v>148</v>
      </c>
      <c r="B29" s="15"/>
      <c r="C29" s="15"/>
      <c r="D29" s="15"/>
      <c r="E29" s="16" t="n">
        <f aca="false">SUM(E11:E28)</f>
        <v>432.48</v>
      </c>
    </row>
    <row r="30" customFormat="false" ht="15" hidden="false" customHeight="false" outlineLevel="0" collapsed="false">
      <c r="A30" s="21" t="s">
        <v>231</v>
      </c>
      <c r="B30" s="21"/>
      <c r="C30" s="21"/>
      <c r="D30" s="21"/>
      <c r="E30" s="22" t="n">
        <v>3986.59</v>
      </c>
    </row>
  </sheetData>
  <mergeCells count="8">
    <mergeCell ref="A1:E1"/>
    <mergeCell ref="B3:E3"/>
    <mergeCell ref="B4:E4"/>
    <mergeCell ref="B5:E5"/>
    <mergeCell ref="B6:E6"/>
    <mergeCell ref="A7:E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332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88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333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334</v>
      </c>
      <c r="C6" s="12"/>
      <c r="D6" s="12"/>
      <c r="E6" s="12"/>
    </row>
    <row r="7" customFormat="false" ht="15" hidden="false" customHeight="true" outlineLevel="0" collapsed="false">
      <c r="A7" s="13" t="s">
        <v>335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238</v>
      </c>
      <c r="B11" s="5" t="s">
        <v>239</v>
      </c>
      <c r="C11" s="4" t="s">
        <v>104</v>
      </c>
      <c r="D11" s="14" t="n">
        <v>1</v>
      </c>
      <c r="E11" s="6" t="n">
        <v>5.02</v>
      </c>
    </row>
    <row r="12" customFormat="false" ht="15" hidden="false" customHeight="false" outlineLevel="0" collapsed="false">
      <c r="A12" s="4" t="s">
        <v>238</v>
      </c>
      <c r="B12" s="5" t="s">
        <v>239</v>
      </c>
      <c r="C12" s="4" t="s">
        <v>104</v>
      </c>
      <c r="D12" s="14" t="n">
        <v>1</v>
      </c>
      <c r="E12" s="6" t="n">
        <v>5.02</v>
      </c>
    </row>
    <row r="13" customFormat="false" ht="15" hidden="false" customHeight="false" outlineLevel="0" collapsed="false">
      <c r="A13" s="4" t="s">
        <v>210</v>
      </c>
      <c r="B13" s="5" t="s">
        <v>336</v>
      </c>
      <c r="C13" s="4" t="s">
        <v>337</v>
      </c>
      <c r="D13" s="14" t="n">
        <v>1</v>
      </c>
      <c r="E13" s="6" t="n">
        <v>97.65</v>
      </c>
    </row>
    <row r="14" customFormat="false" ht="15" hidden="false" customHeight="false" outlineLevel="0" collapsed="false">
      <c r="A14" s="4" t="s">
        <v>338</v>
      </c>
      <c r="B14" s="5" t="s">
        <v>339</v>
      </c>
      <c r="C14" s="4" t="s">
        <v>182</v>
      </c>
      <c r="D14" s="14" t="n">
        <v>2</v>
      </c>
      <c r="E14" s="6" t="n">
        <v>80.54</v>
      </c>
    </row>
    <row r="15" customFormat="false" ht="15" hidden="false" customHeight="false" outlineLevel="0" collapsed="false">
      <c r="A15" s="4" t="s">
        <v>340</v>
      </c>
      <c r="B15" s="5" t="s">
        <v>341</v>
      </c>
      <c r="C15" s="4"/>
      <c r="D15" s="14" t="n">
        <v>1</v>
      </c>
      <c r="E15" s="6" t="n">
        <v>22.95</v>
      </c>
    </row>
    <row r="16" customFormat="false" ht="15" hidden="false" customHeight="false" outlineLevel="0" collapsed="false">
      <c r="A16" s="4" t="s">
        <v>342</v>
      </c>
      <c r="B16" s="5" t="s">
        <v>343</v>
      </c>
      <c r="C16" s="4"/>
      <c r="D16" s="14" t="n">
        <v>1</v>
      </c>
      <c r="E16" s="6" t="n">
        <v>23.95</v>
      </c>
    </row>
    <row r="17" customFormat="false" ht="15" hidden="false" customHeight="false" outlineLevel="0" collapsed="false">
      <c r="A17" s="4" t="s">
        <v>342</v>
      </c>
      <c r="B17" s="5" t="s">
        <v>343</v>
      </c>
      <c r="C17" s="4"/>
      <c r="D17" s="14" t="n">
        <v>1</v>
      </c>
      <c r="E17" s="6" t="n">
        <v>23.95</v>
      </c>
    </row>
    <row r="18" customFormat="false" ht="15" hidden="false" customHeight="false" outlineLevel="0" collapsed="false">
      <c r="A18" s="4" t="s">
        <v>344</v>
      </c>
      <c r="B18" s="5" t="s">
        <v>345</v>
      </c>
      <c r="C18" s="4" t="s">
        <v>346</v>
      </c>
      <c r="D18" s="14" t="n">
        <v>1</v>
      </c>
      <c r="E18" s="6" t="n">
        <v>71.2</v>
      </c>
    </row>
    <row r="19" customFormat="false" ht="15" hidden="false" customHeight="false" outlineLevel="0" collapsed="false">
      <c r="A19" s="4" t="s">
        <v>344</v>
      </c>
      <c r="B19" s="5" t="s">
        <v>345</v>
      </c>
      <c r="C19" s="4" t="s">
        <v>346</v>
      </c>
      <c r="D19" s="14" t="n">
        <v>1</v>
      </c>
      <c r="E19" s="6" t="n">
        <v>71.2</v>
      </c>
    </row>
    <row r="20" customFormat="false" ht="15" hidden="false" customHeight="false" outlineLevel="0" collapsed="false">
      <c r="A20" s="4" t="s">
        <v>108</v>
      </c>
      <c r="B20" s="5" t="s">
        <v>109</v>
      </c>
      <c r="C20" s="4" t="s">
        <v>347</v>
      </c>
      <c r="D20" s="14" t="n">
        <v>1</v>
      </c>
      <c r="E20" s="6" t="n">
        <v>78</v>
      </c>
    </row>
    <row r="21" customFormat="false" ht="15" hidden="false" customHeight="false" outlineLevel="0" collapsed="false">
      <c r="A21" s="4" t="s">
        <v>108</v>
      </c>
      <c r="B21" s="5" t="s">
        <v>109</v>
      </c>
      <c r="C21" s="4" t="s">
        <v>347</v>
      </c>
      <c r="D21" s="14" t="n">
        <v>1</v>
      </c>
      <c r="E21" s="6" t="n">
        <v>78</v>
      </c>
    </row>
    <row r="22" customFormat="false" ht="15" hidden="false" customHeight="false" outlineLevel="0" collapsed="false">
      <c r="A22" s="4" t="s">
        <v>108</v>
      </c>
      <c r="B22" s="5" t="s">
        <v>109</v>
      </c>
      <c r="C22" s="4" t="s">
        <v>347</v>
      </c>
      <c r="D22" s="14" t="n">
        <v>1</v>
      </c>
      <c r="E22" s="6" t="n">
        <v>78</v>
      </c>
    </row>
    <row r="23" customFormat="false" ht="15" hidden="false" customHeight="false" outlineLevel="0" collapsed="false">
      <c r="A23" s="4" t="s">
        <v>108</v>
      </c>
      <c r="B23" s="5" t="s">
        <v>109</v>
      </c>
      <c r="C23" s="4" t="s">
        <v>347</v>
      </c>
      <c r="D23" s="14" t="n">
        <v>1</v>
      </c>
      <c r="E23" s="6" t="n">
        <v>78</v>
      </c>
    </row>
    <row r="24" customFormat="false" ht="15" hidden="false" customHeight="false" outlineLevel="0" collapsed="false">
      <c r="A24" s="4" t="s">
        <v>348</v>
      </c>
      <c r="B24" s="5" t="s">
        <v>349</v>
      </c>
      <c r="C24" s="4" t="s">
        <v>113</v>
      </c>
      <c r="D24" s="14" t="n">
        <v>6</v>
      </c>
      <c r="E24" s="6" t="n">
        <v>20.31</v>
      </c>
    </row>
    <row r="25" customFormat="false" ht="15" hidden="false" customHeight="false" outlineLevel="0" collapsed="false">
      <c r="A25" s="4" t="s">
        <v>348</v>
      </c>
      <c r="B25" s="5" t="s">
        <v>349</v>
      </c>
      <c r="C25" s="4" t="s">
        <v>113</v>
      </c>
      <c r="D25" s="14" t="n">
        <v>6</v>
      </c>
      <c r="E25" s="6" t="n">
        <v>20.31</v>
      </c>
    </row>
    <row r="26" customFormat="false" ht="15" hidden="false" customHeight="false" outlineLevel="0" collapsed="false">
      <c r="A26" s="4" t="s">
        <v>350</v>
      </c>
      <c r="B26" s="5" t="s">
        <v>351</v>
      </c>
      <c r="C26" s="4" t="s">
        <v>113</v>
      </c>
      <c r="D26" s="14" t="n">
        <v>6</v>
      </c>
      <c r="E26" s="6" t="n">
        <v>20.38</v>
      </c>
    </row>
    <row r="27" customFormat="false" ht="15" hidden="false" customHeight="false" outlineLevel="0" collapsed="false">
      <c r="A27" s="4" t="s">
        <v>350</v>
      </c>
      <c r="B27" s="5" t="s">
        <v>351</v>
      </c>
      <c r="C27" s="4" t="s">
        <v>113</v>
      </c>
      <c r="D27" s="14" t="n">
        <v>6</v>
      </c>
      <c r="E27" s="6" t="n">
        <v>20.38</v>
      </c>
    </row>
    <row r="28" customFormat="false" ht="15" hidden="false" customHeight="false" outlineLevel="0" collapsed="false">
      <c r="A28" s="4" t="s">
        <v>350</v>
      </c>
      <c r="B28" s="5" t="s">
        <v>351</v>
      </c>
      <c r="C28" s="4" t="s">
        <v>113</v>
      </c>
      <c r="D28" s="14" t="n">
        <v>6</v>
      </c>
      <c r="E28" s="6" t="n">
        <v>20.38</v>
      </c>
    </row>
    <row r="29" customFormat="false" ht="15" hidden="false" customHeight="false" outlineLevel="0" collapsed="false">
      <c r="A29" s="4" t="s">
        <v>350</v>
      </c>
      <c r="B29" s="5" t="s">
        <v>351</v>
      </c>
      <c r="C29" s="4" t="s">
        <v>113</v>
      </c>
      <c r="D29" s="14" t="n">
        <v>6</v>
      </c>
      <c r="E29" s="6" t="n">
        <v>20.38</v>
      </c>
    </row>
    <row r="30" customFormat="false" ht="15" hidden="false" customHeight="false" outlineLevel="0" collapsed="false">
      <c r="A30" s="4" t="s">
        <v>120</v>
      </c>
      <c r="B30" s="5" t="s">
        <v>352</v>
      </c>
      <c r="C30" s="4" t="s">
        <v>353</v>
      </c>
      <c r="D30" s="14" t="n">
        <v>1</v>
      </c>
      <c r="E30" s="6" t="n">
        <v>301.33</v>
      </c>
    </row>
    <row r="31" customFormat="false" ht="15" hidden="false" customHeight="false" outlineLevel="0" collapsed="false">
      <c r="A31" s="4" t="s">
        <v>123</v>
      </c>
      <c r="B31" s="5"/>
      <c r="C31" s="4" t="s">
        <v>124</v>
      </c>
      <c r="D31" s="14"/>
      <c r="E31" s="6" t="n">
        <v>-11.84</v>
      </c>
    </row>
    <row r="32" customFormat="false" ht="15" hidden="false" customHeight="false" outlineLevel="0" collapsed="false">
      <c r="A32" s="4" t="s">
        <v>136</v>
      </c>
      <c r="B32" s="5"/>
      <c r="C32" s="4" t="s">
        <v>354</v>
      </c>
      <c r="D32" s="14"/>
      <c r="E32" s="6" t="n">
        <v>-144.74</v>
      </c>
    </row>
    <row r="33" customFormat="false" ht="15" hidden="false" customHeight="false" outlineLevel="0" collapsed="false">
      <c r="A33" s="4" t="s">
        <v>120</v>
      </c>
      <c r="B33" s="5" t="s">
        <v>355</v>
      </c>
      <c r="C33" s="4" t="s">
        <v>356</v>
      </c>
      <c r="D33" s="14" t="n">
        <v>1</v>
      </c>
      <c r="E33" s="6" t="n">
        <v>296.33</v>
      </c>
    </row>
    <row r="34" customFormat="false" ht="15" hidden="false" customHeight="false" outlineLevel="0" collapsed="false">
      <c r="A34" s="4" t="s">
        <v>136</v>
      </c>
      <c r="B34" s="5"/>
      <c r="C34" s="4" t="s">
        <v>354</v>
      </c>
      <c r="D34" s="14"/>
      <c r="E34" s="6" t="n">
        <v>-148.16</v>
      </c>
    </row>
    <row r="35" customFormat="false" ht="15" hidden="false" customHeight="false" outlineLevel="0" collapsed="false">
      <c r="A35" s="4" t="s">
        <v>120</v>
      </c>
      <c r="B35" s="5" t="s">
        <v>357</v>
      </c>
      <c r="C35" s="4" t="s">
        <v>358</v>
      </c>
      <c r="D35" s="14" t="n">
        <v>1</v>
      </c>
      <c r="E35" s="6" t="n">
        <v>294.38</v>
      </c>
    </row>
    <row r="36" customFormat="false" ht="15" hidden="false" customHeight="false" outlineLevel="0" collapsed="false">
      <c r="A36" s="4" t="s">
        <v>136</v>
      </c>
      <c r="B36" s="5"/>
      <c r="C36" s="4" t="s">
        <v>354</v>
      </c>
      <c r="D36" s="14"/>
      <c r="E36" s="6" t="n">
        <v>-147.19</v>
      </c>
    </row>
    <row r="37" customFormat="false" ht="15" hidden="false" customHeight="false" outlineLevel="0" collapsed="false">
      <c r="A37" s="4" t="s">
        <v>120</v>
      </c>
      <c r="B37" s="5" t="s">
        <v>355</v>
      </c>
      <c r="C37" s="4" t="s">
        <v>356</v>
      </c>
      <c r="D37" s="14" t="n">
        <v>1</v>
      </c>
      <c r="E37" s="6" t="n">
        <v>296.33</v>
      </c>
    </row>
    <row r="38" customFormat="false" ht="15" hidden="false" customHeight="false" outlineLevel="0" collapsed="false">
      <c r="A38" s="4" t="s">
        <v>136</v>
      </c>
      <c r="B38" s="5"/>
      <c r="C38" s="4" t="s">
        <v>354</v>
      </c>
      <c r="D38" s="14"/>
      <c r="E38" s="6" t="n">
        <v>-148.16</v>
      </c>
    </row>
    <row r="39" customFormat="false" ht="15" hidden="false" customHeight="false" outlineLevel="0" collapsed="false">
      <c r="A39" s="4" t="s">
        <v>120</v>
      </c>
      <c r="B39" s="5" t="s">
        <v>359</v>
      </c>
      <c r="C39" s="4" t="s">
        <v>360</v>
      </c>
      <c r="D39" s="14" t="n">
        <v>1</v>
      </c>
      <c r="E39" s="6" t="n">
        <v>288.51</v>
      </c>
    </row>
    <row r="40" customFormat="false" ht="15" hidden="false" customHeight="false" outlineLevel="0" collapsed="false">
      <c r="A40" s="4" t="s">
        <v>136</v>
      </c>
      <c r="B40" s="5"/>
      <c r="C40" s="4" t="s">
        <v>354</v>
      </c>
      <c r="D40" s="14"/>
      <c r="E40" s="6" t="n">
        <v>-144.26</v>
      </c>
    </row>
    <row r="41" customFormat="false" ht="15" hidden="false" customHeight="false" outlineLevel="0" collapsed="false">
      <c r="A41" s="4" t="s">
        <v>120</v>
      </c>
      <c r="B41" s="5" t="s">
        <v>361</v>
      </c>
      <c r="C41" s="4" t="s">
        <v>362</v>
      </c>
      <c r="D41" s="14" t="n">
        <v>1</v>
      </c>
      <c r="E41" s="6" t="n">
        <v>293.4</v>
      </c>
    </row>
    <row r="42" customFormat="false" ht="15" hidden="false" customHeight="false" outlineLevel="0" collapsed="false">
      <c r="A42" s="4" t="s">
        <v>136</v>
      </c>
      <c r="B42" s="5"/>
      <c r="C42" s="4" t="s">
        <v>354</v>
      </c>
      <c r="D42" s="14"/>
      <c r="E42" s="6" t="n">
        <v>-146.7</v>
      </c>
    </row>
    <row r="43" customFormat="false" ht="15" hidden="false" customHeight="false" outlineLevel="0" collapsed="false">
      <c r="A43" s="4" t="s">
        <v>120</v>
      </c>
      <c r="B43" s="5" t="s">
        <v>363</v>
      </c>
      <c r="C43" s="4" t="s">
        <v>364</v>
      </c>
      <c r="D43" s="14" t="n">
        <v>1</v>
      </c>
      <c r="E43" s="6" t="n">
        <v>289</v>
      </c>
    </row>
    <row r="44" customFormat="false" ht="15" hidden="false" customHeight="false" outlineLevel="0" collapsed="false">
      <c r="A44" s="4" t="s">
        <v>136</v>
      </c>
      <c r="B44" s="5"/>
      <c r="C44" s="4" t="s">
        <v>354</v>
      </c>
      <c r="D44" s="14"/>
      <c r="E44" s="6" t="n">
        <v>-144.5</v>
      </c>
    </row>
    <row r="45" customFormat="false" ht="15" hidden="false" customHeight="false" outlineLevel="0" collapsed="false">
      <c r="A45" s="15" t="s">
        <v>148</v>
      </c>
      <c r="B45" s="15"/>
      <c r="C45" s="15"/>
      <c r="D45" s="15"/>
      <c r="E45" s="16" t="n">
        <f aca="false">SUM(E11:E44)</f>
        <v>1859.35</v>
      </c>
    </row>
  </sheetData>
  <mergeCells count="7">
    <mergeCell ref="A1:E1"/>
    <mergeCell ref="B3:E3"/>
    <mergeCell ref="B4:E4"/>
    <mergeCell ref="B5:E5"/>
    <mergeCell ref="B6:E6"/>
    <mergeCell ref="A7:E8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365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88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366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367</v>
      </c>
      <c r="C6" s="12"/>
      <c r="D6" s="12"/>
      <c r="E6" s="12"/>
    </row>
    <row r="7" customFormat="false" ht="15" hidden="false" customHeight="true" outlineLevel="0" collapsed="false">
      <c r="A7" s="13" t="s">
        <v>368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369</v>
      </c>
      <c r="B11" s="5" t="s">
        <v>370</v>
      </c>
      <c r="C11" s="4"/>
      <c r="D11" s="14" t="n">
        <v>1</v>
      </c>
      <c r="E11" s="6" t="n">
        <v>59.9</v>
      </c>
    </row>
    <row r="12" customFormat="false" ht="15" hidden="false" customHeight="false" outlineLevel="0" collapsed="false">
      <c r="A12" s="4" t="s">
        <v>371</v>
      </c>
      <c r="B12" s="5" t="s">
        <v>372</v>
      </c>
      <c r="C12" s="4" t="s">
        <v>113</v>
      </c>
      <c r="D12" s="14" t="n">
        <v>6</v>
      </c>
      <c r="E12" s="6" t="n">
        <v>21.82</v>
      </c>
    </row>
    <row r="13" customFormat="false" ht="15" hidden="false" customHeight="false" outlineLevel="0" collapsed="false">
      <c r="A13" s="4" t="s">
        <v>373</v>
      </c>
      <c r="B13" s="5" t="s">
        <v>374</v>
      </c>
      <c r="C13" s="4" t="s">
        <v>375</v>
      </c>
      <c r="D13" s="14" t="n">
        <v>12</v>
      </c>
      <c r="E13" s="6" t="n">
        <v>27.2</v>
      </c>
    </row>
    <row r="14" customFormat="false" ht="15" hidden="false" customHeight="false" outlineLevel="0" collapsed="false">
      <c r="A14" s="4" t="s">
        <v>376</v>
      </c>
      <c r="B14" s="5" t="s">
        <v>377</v>
      </c>
      <c r="C14" s="4" t="s">
        <v>378</v>
      </c>
      <c r="D14" s="14" t="n">
        <v>1</v>
      </c>
      <c r="E14" s="6" t="n">
        <v>41.99</v>
      </c>
    </row>
    <row r="15" customFormat="false" ht="15" hidden="false" customHeight="false" outlineLevel="0" collapsed="false">
      <c r="A15" s="4" t="s">
        <v>379</v>
      </c>
      <c r="B15" s="5" t="s">
        <v>380</v>
      </c>
      <c r="C15" s="4" t="s">
        <v>378</v>
      </c>
      <c r="D15" s="14" t="n">
        <v>1</v>
      </c>
      <c r="E15" s="6" t="n">
        <v>64.99</v>
      </c>
    </row>
    <row r="16" customFormat="false" ht="15" hidden="false" customHeight="false" outlineLevel="0" collapsed="false">
      <c r="A16" s="4" t="s">
        <v>381</v>
      </c>
      <c r="B16" s="5" t="s">
        <v>382</v>
      </c>
      <c r="C16" s="4" t="s">
        <v>383</v>
      </c>
      <c r="D16" s="14" t="n">
        <v>1</v>
      </c>
      <c r="E16" s="6" t="n">
        <v>167.36</v>
      </c>
    </row>
    <row r="17" customFormat="false" ht="15" hidden="false" customHeight="false" outlineLevel="0" collapsed="false">
      <c r="A17" s="4" t="s">
        <v>123</v>
      </c>
      <c r="B17" s="5"/>
      <c r="C17" s="4" t="s">
        <v>124</v>
      </c>
      <c r="D17" s="14"/>
      <c r="E17" s="6" t="n">
        <v>-5.29</v>
      </c>
    </row>
    <row r="18" customFormat="false" ht="15" hidden="false" customHeight="false" outlineLevel="0" collapsed="false">
      <c r="A18" s="4" t="s">
        <v>384</v>
      </c>
      <c r="B18" s="5" t="s">
        <v>385</v>
      </c>
      <c r="C18" s="4" t="s">
        <v>386</v>
      </c>
      <c r="D18" s="14" t="n">
        <v>1</v>
      </c>
      <c r="E18" s="6" t="n">
        <v>16.89</v>
      </c>
    </row>
    <row r="19" customFormat="false" ht="15" hidden="false" customHeight="false" outlineLevel="0" collapsed="false">
      <c r="A19" s="17" t="s">
        <v>317</v>
      </c>
      <c r="B19" s="18"/>
      <c r="C19" s="17" t="s">
        <v>10</v>
      </c>
      <c r="D19" s="19"/>
      <c r="E19" s="20"/>
    </row>
    <row r="20" customFormat="false" ht="15" hidden="false" customHeight="false" outlineLevel="0" collapsed="false">
      <c r="A20" s="4" t="s">
        <v>387</v>
      </c>
      <c r="B20" s="5" t="s">
        <v>388</v>
      </c>
      <c r="C20" s="4"/>
      <c r="D20" s="14" t="n">
        <v>1</v>
      </c>
      <c r="E20" s="6" t="n">
        <v>63.77</v>
      </c>
    </row>
    <row r="21" customFormat="false" ht="15" hidden="false" customHeight="false" outlineLevel="0" collapsed="false">
      <c r="A21" s="4" t="s">
        <v>389</v>
      </c>
      <c r="B21" s="5" t="s">
        <v>390</v>
      </c>
      <c r="C21" s="4" t="s">
        <v>113</v>
      </c>
      <c r="D21" s="14" t="n">
        <v>6</v>
      </c>
      <c r="E21" s="6" t="n">
        <v>72.32</v>
      </c>
    </row>
    <row r="22" customFormat="false" ht="15" hidden="false" customHeight="false" outlineLevel="0" collapsed="false">
      <c r="A22" s="4" t="s">
        <v>389</v>
      </c>
      <c r="B22" s="5" t="s">
        <v>390</v>
      </c>
      <c r="C22" s="4" t="s">
        <v>113</v>
      </c>
      <c r="D22" s="14" t="n">
        <v>6</v>
      </c>
      <c r="E22" s="6" t="n">
        <v>72.32</v>
      </c>
    </row>
    <row r="23" customFormat="false" ht="15" hidden="false" customHeight="false" outlineLevel="0" collapsed="false">
      <c r="A23" s="15" t="s">
        <v>148</v>
      </c>
      <c r="B23" s="15"/>
      <c r="C23" s="15"/>
      <c r="D23" s="15"/>
      <c r="E23" s="16" t="n">
        <f aca="false">SUM(E11:E22)</f>
        <v>603.27</v>
      </c>
    </row>
    <row r="24" customFormat="false" ht="15" hidden="false" customHeight="false" outlineLevel="0" collapsed="false">
      <c r="A24" s="21" t="s">
        <v>231</v>
      </c>
      <c r="B24" s="21"/>
      <c r="C24" s="21"/>
      <c r="D24" s="21"/>
      <c r="E24" s="22" t="n">
        <v>5217.23</v>
      </c>
    </row>
  </sheetData>
  <mergeCells count="8">
    <mergeCell ref="A1:E1"/>
    <mergeCell ref="B3:E3"/>
    <mergeCell ref="B4:E4"/>
    <mergeCell ref="B5:E5"/>
    <mergeCell ref="B6:E6"/>
    <mergeCell ref="A7:E8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391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88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392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393</v>
      </c>
      <c r="C6" s="12"/>
      <c r="D6" s="12"/>
      <c r="E6" s="12"/>
    </row>
    <row r="7" customFormat="false" ht="15" hidden="false" customHeight="true" outlineLevel="0" collapsed="false">
      <c r="A7" s="13" t="s">
        <v>394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395</v>
      </c>
      <c r="B11" s="5" t="s">
        <v>396</v>
      </c>
      <c r="C11" s="4" t="s">
        <v>378</v>
      </c>
      <c r="D11" s="14" t="n">
        <v>1</v>
      </c>
      <c r="E11" s="6" t="n">
        <v>1.93</v>
      </c>
    </row>
    <row r="12" customFormat="false" ht="15" hidden="false" customHeight="false" outlineLevel="0" collapsed="false">
      <c r="A12" s="4" t="s">
        <v>395</v>
      </c>
      <c r="B12" s="5" t="s">
        <v>396</v>
      </c>
      <c r="C12" s="4" t="s">
        <v>378</v>
      </c>
      <c r="D12" s="14" t="n">
        <v>1</v>
      </c>
      <c r="E12" s="6" t="n">
        <v>1.93</v>
      </c>
    </row>
    <row r="13" customFormat="false" ht="15" hidden="false" customHeight="false" outlineLevel="0" collapsed="false">
      <c r="A13" s="4" t="s">
        <v>397</v>
      </c>
      <c r="B13" s="5" t="s">
        <v>398</v>
      </c>
      <c r="C13" s="4" t="s">
        <v>399</v>
      </c>
      <c r="D13" s="14" t="n">
        <v>6</v>
      </c>
      <c r="E13" s="6" t="n">
        <v>18.68</v>
      </c>
    </row>
    <row r="14" customFormat="false" ht="15" hidden="false" customHeight="false" outlineLevel="0" collapsed="false">
      <c r="A14" s="4" t="s">
        <v>397</v>
      </c>
      <c r="B14" s="5" t="s">
        <v>398</v>
      </c>
      <c r="C14" s="4" t="s">
        <v>295</v>
      </c>
      <c r="D14" s="14" t="n">
        <v>1</v>
      </c>
      <c r="E14" s="6" t="n">
        <v>3.12</v>
      </c>
    </row>
    <row r="15" customFormat="false" ht="15" hidden="false" customHeight="false" outlineLevel="0" collapsed="false">
      <c r="A15" s="4" t="s">
        <v>397</v>
      </c>
      <c r="B15" s="5" t="s">
        <v>398</v>
      </c>
      <c r="C15" s="4" t="s">
        <v>295</v>
      </c>
      <c r="D15" s="14" t="n">
        <v>1</v>
      </c>
      <c r="E15" s="6" t="n">
        <v>3.12</v>
      </c>
    </row>
    <row r="16" customFormat="false" ht="15" hidden="false" customHeight="false" outlineLevel="0" collapsed="false">
      <c r="A16" s="4" t="s">
        <v>400</v>
      </c>
      <c r="B16" s="5" t="s">
        <v>401</v>
      </c>
      <c r="C16" s="4" t="s">
        <v>402</v>
      </c>
      <c r="D16" s="14" t="n">
        <v>220</v>
      </c>
      <c r="E16" s="6" t="n">
        <v>694.35</v>
      </c>
    </row>
    <row r="17" customFormat="false" ht="15" hidden="false" customHeight="false" outlineLevel="0" collapsed="false">
      <c r="A17" s="4" t="s">
        <v>400</v>
      </c>
      <c r="B17" s="5" t="s">
        <v>401</v>
      </c>
      <c r="C17" s="4" t="s">
        <v>403</v>
      </c>
      <c r="D17" s="14" t="n">
        <v>-220</v>
      </c>
      <c r="E17" s="6" t="n">
        <v>-694.35</v>
      </c>
    </row>
    <row r="18" customFormat="false" ht="15" hidden="false" customHeight="false" outlineLevel="0" collapsed="false">
      <c r="A18" s="4" t="s">
        <v>400</v>
      </c>
      <c r="B18" s="5" t="s">
        <v>401</v>
      </c>
      <c r="C18" s="4" t="s">
        <v>295</v>
      </c>
      <c r="D18" s="14" t="n">
        <v>1</v>
      </c>
      <c r="E18" s="6" t="n">
        <v>3.16</v>
      </c>
    </row>
    <row r="19" customFormat="false" ht="15" hidden="false" customHeight="false" outlineLevel="0" collapsed="false">
      <c r="A19" s="4" t="s">
        <v>400</v>
      </c>
      <c r="B19" s="5" t="s">
        <v>401</v>
      </c>
      <c r="C19" s="4" t="s">
        <v>295</v>
      </c>
      <c r="D19" s="14" t="n">
        <v>1</v>
      </c>
      <c r="E19" s="6" t="n">
        <v>3.16</v>
      </c>
    </row>
    <row r="20" customFormat="false" ht="15" hidden="false" customHeight="false" outlineLevel="0" collapsed="false">
      <c r="A20" s="4" t="s">
        <v>400</v>
      </c>
      <c r="B20" s="5" t="s">
        <v>401</v>
      </c>
      <c r="C20" s="4" t="s">
        <v>295</v>
      </c>
      <c r="D20" s="14" t="n">
        <v>1</v>
      </c>
      <c r="E20" s="6" t="n">
        <v>3.16</v>
      </c>
    </row>
    <row r="21" customFormat="false" ht="15" hidden="false" customHeight="false" outlineLevel="0" collapsed="false">
      <c r="A21" s="4" t="s">
        <v>400</v>
      </c>
      <c r="B21" s="5" t="s">
        <v>401</v>
      </c>
      <c r="C21" s="4" t="s">
        <v>295</v>
      </c>
      <c r="D21" s="14" t="n">
        <v>1</v>
      </c>
      <c r="E21" s="6" t="n">
        <v>3.16</v>
      </c>
    </row>
    <row r="22" customFormat="false" ht="15" hidden="false" customHeight="false" outlineLevel="0" collapsed="false">
      <c r="A22" s="4" t="s">
        <v>400</v>
      </c>
      <c r="B22" s="5" t="s">
        <v>401</v>
      </c>
      <c r="C22" s="4" t="s">
        <v>295</v>
      </c>
      <c r="D22" s="14" t="n">
        <v>1</v>
      </c>
      <c r="E22" s="6" t="n">
        <v>3.16</v>
      </c>
    </row>
    <row r="23" customFormat="false" ht="15" hidden="false" customHeight="false" outlineLevel="0" collapsed="false">
      <c r="A23" s="4" t="s">
        <v>400</v>
      </c>
      <c r="B23" s="5" t="s">
        <v>401</v>
      </c>
      <c r="C23" s="4" t="s">
        <v>295</v>
      </c>
      <c r="D23" s="14" t="n">
        <v>1</v>
      </c>
      <c r="E23" s="6" t="n">
        <v>3.16</v>
      </c>
    </row>
    <row r="24" customFormat="false" ht="15" hidden="false" customHeight="false" outlineLevel="0" collapsed="false">
      <c r="A24" s="4" t="s">
        <v>400</v>
      </c>
      <c r="B24" s="5" t="s">
        <v>401</v>
      </c>
      <c r="C24" s="4" t="s">
        <v>295</v>
      </c>
      <c r="D24" s="14" t="n">
        <v>1</v>
      </c>
      <c r="E24" s="6" t="n">
        <v>3.16</v>
      </c>
    </row>
    <row r="25" customFormat="false" ht="15" hidden="false" customHeight="false" outlineLevel="0" collapsed="false">
      <c r="A25" s="4" t="s">
        <v>400</v>
      </c>
      <c r="B25" s="5" t="s">
        <v>401</v>
      </c>
      <c r="C25" s="4" t="s">
        <v>295</v>
      </c>
      <c r="D25" s="14" t="n">
        <v>1</v>
      </c>
      <c r="E25" s="6" t="n">
        <v>3.16</v>
      </c>
    </row>
    <row r="26" customFormat="false" ht="15" hidden="false" customHeight="false" outlineLevel="0" collapsed="false">
      <c r="A26" s="4" t="s">
        <v>400</v>
      </c>
      <c r="B26" s="5" t="s">
        <v>401</v>
      </c>
      <c r="C26" s="4" t="s">
        <v>295</v>
      </c>
      <c r="D26" s="14" t="n">
        <v>1</v>
      </c>
      <c r="E26" s="6" t="n">
        <v>3.16</v>
      </c>
    </row>
    <row r="27" customFormat="false" ht="15" hidden="false" customHeight="false" outlineLevel="0" collapsed="false">
      <c r="A27" s="17" t="s">
        <v>404</v>
      </c>
      <c r="B27" s="18"/>
      <c r="C27" s="17" t="s">
        <v>10</v>
      </c>
      <c r="D27" s="19"/>
      <c r="E27" s="20"/>
    </row>
    <row r="28" customFormat="false" ht="15" hidden="false" customHeight="false" outlineLevel="0" collapsed="false">
      <c r="A28" s="15" t="s">
        <v>148</v>
      </c>
      <c r="B28" s="15"/>
      <c r="C28" s="15"/>
      <c r="D28" s="15"/>
      <c r="E28" s="16" t="n">
        <f aca="false">SUM(E11:E27)</f>
        <v>57.22</v>
      </c>
    </row>
  </sheetData>
  <mergeCells count="7">
    <mergeCell ref="A1:E1"/>
    <mergeCell ref="B3:E3"/>
    <mergeCell ref="B4:E4"/>
    <mergeCell ref="B5:E5"/>
    <mergeCell ref="B6:E6"/>
    <mergeCell ref="A7:E8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405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150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287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288</v>
      </c>
      <c r="C6" s="12"/>
      <c r="D6" s="12"/>
      <c r="E6" s="12"/>
    </row>
    <row r="7" customFormat="false" ht="15" hidden="false" customHeight="true" outlineLevel="0" collapsed="false">
      <c r="A7" s="13" t="s">
        <v>406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407</v>
      </c>
      <c r="B11" s="5" t="s">
        <v>408</v>
      </c>
      <c r="C11" s="4"/>
      <c r="D11" s="14" t="n">
        <v>1</v>
      </c>
      <c r="E11" s="6" t="n">
        <v>51</v>
      </c>
    </row>
    <row r="12" customFormat="false" ht="15" hidden="false" customHeight="false" outlineLevel="0" collapsed="false">
      <c r="A12" s="4" t="s">
        <v>409</v>
      </c>
      <c r="B12" s="5" t="s">
        <v>410</v>
      </c>
      <c r="C12" s="4" t="s">
        <v>411</v>
      </c>
      <c r="D12" s="14" t="n">
        <v>1</v>
      </c>
      <c r="E12" s="6" t="n">
        <v>67.44</v>
      </c>
    </row>
    <row r="13" customFormat="false" ht="15" hidden="false" customHeight="false" outlineLevel="0" collapsed="false">
      <c r="A13" s="4" t="s">
        <v>412</v>
      </c>
      <c r="B13" s="5" t="s">
        <v>413</v>
      </c>
      <c r="C13" s="4" t="s">
        <v>414</v>
      </c>
      <c r="D13" s="14" t="n">
        <v>1</v>
      </c>
      <c r="E13" s="6" t="n">
        <v>13.83</v>
      </c>
    </row>
    <row r="14" customFormat="false" ht="15" hidden="false" customHeight="false" outlineLevel="0" collapsed="false">
      <c r="A14" s="4" t="s">
        <v>415</v>
      </c>
      <c r="B14" s="5" t="s">
        <v>416</v>
      </c>
      <c r="C14" s="4" t="s">
        <v>417</v>
      </c>
      <c r="D14" s="14" t="n">
        <v>1</v>
      </c>
      <c r="E14" s="6" t="n">
        <v>1.2</v>
      </c>
    </row>
    <row r="15" customFormat="false" ht="15" hidden="false" customHeight="false" outlineLevel="0" collapsed="false">
      <c r="A15" s="4" t="s">
        <v>418</v>
      </c>
      <c r="B15" s="5" t="s">
        <v>419</v>
      </c>
      <c r="C15" s="4" t="s">
        <v>113</v>
      </c>
      <c r="D15" s="14" t="n">
        <v>6</v>
      </c>
      <c r="E15" s="6" t="n">
        <v>37.59</v>
      </c>
    </row>
    <row r="16" customFormat="false" ht="15" hidden="false" customHeight="false" outlineLevel="0" collapsed="false">
      <c r="A16" s="4" t="s">
        <v>420</v>
      </c>
      <c r="B16" s="5" t="s">
        <v>421</v>
      </c>
      <c r="C16" s="4" t="s">
        <v>113</v>
      </c>
      <c r="D16" s="14" t="n">
        <v>6</v>
      </c>
      <c r="E16" s="6" t="n">
        <v>27.78</v>
      </c>
    </row>
    <row r="17" customFormat="false" ht="15" hidden="false" customHeight="false" outlineLevel="0" collapsed="false">
      <c r="A17" s="4" t="s">
        <v>422</v>
      </c>
      <c r="B17" s="5" t="s">
        <v>423</v>
      </c>
      <c r="C17" s="4" t="s">
        <v>113</v>
      </c>
      <c r="D17" s="14" t="n">
        <v>6</v>
      </c>
      <c r="E17" s="6" t="n">
        <v>47.82</v>
      </c>
    </row>
    <row r="18" customFormat="false" ht="15" hidden="false" customHeight="false" outlineLevel="0" collapsed="false">
      <c r="A18" s="4" t="s">
        <v>424</v>
      </c>
      <c r="B18" s="5" t="s">
        <v>425</v>
      </c>
      <c r="C18" s="4" t="s">
        <v>426</v>
      </c>
      <c r="D18" s="14" t="n">
        <v>1</v>
      </c>
      <c r="E18" s="6" t="n">
        <v>19.29</v>
      </c>
    </row>
    <row r="19" customFormat="false" ht="15" hidden="false" customHeight="false" outlineLevel="0" collapsed="false">
      <c r="A19" s="4" t="s">
        <v>424</v>
      </c>
      <c r="B19" s="5" t="s">
        <v>425</v>
      </c>
      <c r="C19" s="4" t="s">
        <v>426</v>
      </c>
      <c r="D19" s="14" t="n">
        <v>1</v>
      </c>
      <c r="E19" s="6" t="n">
        <v>19.29</v>
      </c>
    </row>
    <row r="20" customFormat="false" ht="15" hidden="false" customHeight="false" outlineLevel="0" collapsed="false">
      <c r="A20" s="4" t="s">
        <v>427</v>
      </c>
      <c r="B20" s="5" t="s">
        <v>428</v>
      </c>
      <c r="C20" s="4" t="s">
        <v>429</v>
      </c>
      <c r="D20" s="14" t="n">
        <v>1</v>
      </c>
      <c r="E20" s="6" t="n">
        <v>13.43</v>
      </c>
    </row>
    <row r="21" customFormat="false" ht="15" hidden="false" customHeight="false" outlineLevel="0" collapsed="false">
      <c r="A21" s="17" t="s">
        <v>430</v>
      </c>
      <c r="B21" s="18"/>
      <c r="C21" s="17" t="s">
        <v>10</v>
      </c>
      <c r="D21" s="19"/>
      <c r="E21" s="20"/>
    </row>
    <row r="22" customFormat="false" ht="15" hidden="false" customHeight="false" outlineLevel="0" collapsed="false">
      <c r="A22" s="15" t="s">
        <v>148</v>
      </c>
      <c r="B22" s="15"/>
      <c r="C22" s="15"/>
      <c r="D22" s="15"/>
      <c r="E22" s="16" t="n">
        <f aca="false">SUM(E11:E21)</f>
        <v>298.67</v>
      </c>
    </row>
  </sheetData>
  <mergeCells count="7">
    <mergeCell ref="A1:E1"/>
    <mergeCell ref="B3:E3"/>
    <mergeCell ref="B4:E4"/>
    <mergeCell ref="B5:E5"/>
    <mergeCell ref="B6:E6"/>
    <mergeCell ref="A7:E8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31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431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392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393</v>
      </c>
      <c r="C6" s="12"/>
      <c r="D6" s="12"/>
      <c r="E6" s="12"/>
    </row>
    <row r="7" customFormat="false" ht="15" hidden="false" customHeight="true" outlineLevel="0" collapsed="false">
      <c r="A7" s="23" t="s">
        <v>432</v>
      </c>
      <c r="B7" s="23"/>
      <c r="C7" s="23"/>
      <c r="D7" s="23"/>
      <c r="E7" s="23"/>
    </row>
    <row r="8" customFormat="false" ht="15" hidden="false" customHeight="false" outlineLevel="0" collapsed="false">
      <c r="A8" s="23"/>
      <c r="B8" s="23"/>
      <c r="C8" s="23"/>
      <c r="D8" s="23"/>
      <c r="E8" s="2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433</v>
      </c>
      <c r="B11" s="5" t="s">
        <v>434</v>
      </c>
      <c r="C11" s="4" t="s">
        <v>435</v>
      </c>
      <c r="D11" s="14" t="n">
        <v>1</v>
      </c>
      <c r="E11" s="6" t="n">
        <v>28.96</v>
      </c>
    </row>
    <row r="12" customFormat="false" ht="15" hidden="false" customHeight="false" outlineLevel="0" collapsed="false">
      <c r="A12" s="4" t="s">
        <v>433</v>
      </c>
      <c r="B12" s="5" t="s">
        <v>434</v>
      </c>
      <c r="C12" s="4" t="s">
        <v>435</v>
      </c>
      <c r="D12" s="14" t="n">
        <v>1</v>
      </c>
      <c r="E12" s="6" t="n">
        <v>28.96</v>
      </c>
    </row>
    <row r="13" customFormat="false" ht="15" hidden="false" customHeight="false" outlineLevel="0" collapsed="false">
      <c r="A13" s="4" t="s">
        <v>436</v>
      </c>
      <c r="B13" s="5" t="s">
        <v>437</v>
      </c>
      <c r="C13" s="4" t="s">
        <v>438</v>
      </c>
      <c r="D13" s="14" t="n">
        <v>1</v>
      </c>
      <c r="E13" s="6" t="n">
        <v>33.56</v>
      </c>
    </row>
    <row r="14" customFormat="false" ht="15" hidden="false" customHeight="false" outlineLevel="0" collapsed="false">
      <c r="A14" s="4" t="s">
        <v>439</v>
      </c>
      <c r="B14" s="5" t="s">
        <v>440</v>
      </c>
      <c r="C14" s="4" t="s">
        <v>441</v>
      </c>
      <c r="D14" s="14" t="n">
        <v>1</v>
      </c>
      <c r="E14" s="6" t="n">
        <v>21.68</v>
      </c>
    </row>
    <row r="15" customFormat="false" ht="15" hidden="false" customHeight="false" outlineLevel="0" collapsed="false">
      <c r="A15" s="4" t="s">
        <v>442</v>
      </c>
      <c r="B15" s="5" t="s">
        <v>443</v>
      </c>
      <c r="C15" s="4" t="s">
        <v>378</v>
      </c>
      <c r="D15" s="14" t="n">
        <v>1</v>
      </c>
      <c r="E15" s="6" t="n">
        <v>49.85</v>
      </c>
    </row>
    <row r="16" customFormat="false" ht="15" hidden="false" customHeight="false" outlineLevel="0" collapsed="false">
      <c r="A16" s="4" t="s">
        <v>444</v>
      </c>
      <c r="B16" s="5" t="s">
        <v>445</v>
      </c>
      <c r="C16" s="4" t="s">
        <v>446</v>
      </c>
      <c r="D16" s="14" t="n">
        <v>5</v>
      </c>
      <c r="E16" s="6" t="n">
        <v>33.65</v>
      </c>
    </row>
    <row r="17" customFormat="false" ht="15" hidden="false" customHeight="false" outlineLevel="0" collapsed="false">
      <c r="A17" s="4" t="s">
        <v>415</v>
      </c>
      <c r="B17" s="5" t="s">
        <v>416</v>
      </c>
      <c r="C17" s="4" t="s">
        <v>417</v>
      </c>
      <c r="D17" s="14" t="n">
        <v>1</v>
      </c>
      <c r="E17" s="6" t="n">
        <v>1.2</v>
      </c>
    </row>
    <row r="18" customFormat="false" ht="15" hidden="false" customHeight="false" outlineLevel="0" collapsed="false">
      <c r="A18" s="4" t="s">
        <v>447</v>
      </c>
      <c r="B18" s="5" t="s">
        <v>448</v>
      </c>
      <c r="C18" s="4" t="s">
        <v>449</v>
      </c>
      <c r="D18" s="14" t="n">
        <v>1</v>
      </c>
      <c r="E18" s="6" t="n">
        <v>40.09</v>
      </c>
    </row>
    <row r="19" customFormat="false" ht="15" hidden="false" customHeight="false" outlineLevel="0" collapsed="false">
      <c r="A19" s="4" t="s">
        <v>415</v>
      </c>
      <c r="B19" s="5" t="s">
        <v>416</v>
      </c>
      <c r="C19" s="4" t="s">
        <v>417</v>
      </c>
      <c r="D19" s="14" t="n">
        <v>1</v>
      </c>
      <c r="E19" s="6" t="n">
        <v>1.2</v>
      </c>
    </row>
    <row r="20" customFormat="false" ht="15" hidden="false" customHeight="false" outlineLevel="0" collapsed="false">
      <c r="A20" s="4" t="s">
        <v>450</v>
      </c>
      <c r="B20" s="5" t="s">
        <v>451</v>
      </c>
      <c r="C20" s="4" t="s">
        <v>452</v>
      </c>
      <c r="D20" s="14" t="n">
        <v>1</v>
      </c>
      <c r="E20" s="6" t="n">
        <v>41.15</v>
      </c>
    </row>
    <row r="21" customFormat="false" ht="15" hidden="false" customHeight="false" outlineLevel="0" collapsed="false">
      <c r="A21" s="4" t="s">
        <v>453</v>
      </c>
      <c r="B21" s="5" t="s">
        <v>454</v>
      </c>
      <c r="C21" s="4" t="s">
        <v>182</v>
      </c>
      <c r="D21" s="14" t="n">
        <v>2</v>
      </c>
      <c r="E21" s="6" t="n">
        <v>31.37</v>
      </c>
    </row>
    <row r="22" customFormat="false" ht="15" hidden="false" customHeight="false" outlineLevel="0" collapsed="false">
      <c r="A22" s="4" t="s">
        <v>453</v>
      </c>
      <c r="B22" s="5" t="s">
        <v>454</v>
      </c>
      <c r="C22" s="4" t="s">
        <v>182</v>
      </c>
      <c r="D22" s="14" t="n">
        <v>2</v>
      </c>
      <c r="E22" s="6" t="n">
        <v>31.37</v>
      </c>
    </row>
    <row r="23" customFormat="false" ht="15" hidden="false" customHeight="false" outlineLevel="0" collapsed="false">
      <c r="A23" s="4" t="s">
        <v>455</v>
      </c>
      <c r="B23" s="5" t="s">
        <v>456</v>
      </c>
      <c r="C23" s="4" t="s">
        <v>182</v>
      </c>
      <c r="D23" s="14" t="n">
        <v>2</v>
      </c>
      <c r="E23" s="6" t="n">
        <v>45.7</v>
      </c>
    </row>
    <row r="24" customFormat="false" ht="15" hidden="false" customHeight="false" outlineLevel="0" collapsed="false">
      <c r="A24" s="4" t="s">
        <v>457</v>
      </c>
      <c r="B24" s="5" t="s">
        <v>458</v>
      </c>
      <c r="C24" s="4" t="s">
        <v>104</v>
      </c>
      <c r="D24" s="14" t="n">
        <v>1</v>
      </c>
      <c r="E24" s="6" t="n">
        <v>26.54</v>
      </c>
    </row>
    <row r="25" customFormat="false" ht="15" hidden="false" customHeight="false" outlineLevel="0" collapsed="false">
      <c r="A25" s="4" t="s">
        <v>457</v>
      </c>
      <c r="B25" s="5" t="s">
        <v>458</v>
      </c>
      <c r="C25" s="4" t="s">
        <v>104</v>
      </c>
      <c r="D25" s="14" t="n">
        <v>1</v>
      </c>
      <c r="E25" s="6" t="n">
        <v>26.54</v>
      </c>
    </row>
    <row r="26" customFormat="false" ht="15" hidden="false" customHeight="false" outlineLevel="0" collapsed="false">
      <c r="A26" s="4" t="s">
        <v>459</v>
      </c>
      <c r="B26" s="5" t="s">
        <v>370</v>
      </c>
      <c r="C26" s="4" t="s">
        <v>104</v>
      </c>
      <c r="D26" s="14" t="n">
        <v>1</v>
      </c>
      <c r="E26" s="6" t="n">
        <v>11.5</v>
      </c>
    </row>
    <row r="27" customFormat="false" ht="15" hidden="false" customHeight="false" outlineLevel="0" collapsed="false">
      <c r="A27" s="17" t="s">
        <v>460</v>
      </c>
      <c r="B27" s="18"/>
      <c r="C27" s="17" t="s">
        <v>10</v>
      </c>
      <c r="D27" s="19"/>
      <c r="E27" s="20"/>
    </row>
    <row r="28" customFormat="false" ht="15" hidden="false" customHeight="false" outlineLevel="0" collapsed="false">
      <c r="A28" s="15" t="s">
        <v>148</v>
      </c>
      <c r="B28" s="15"/>
      <c r="C28" s="15"/>
      <c r="D28" s="15"/>
      <c r="E28" s="16" t="n">
        <f aca="false">SUM(E11:E27)</f>
        <v>453.32</v>
      </c>
    </row>
  </sheetData>
  <mergeCells count="7">
    <mergeCell ref="A1:E1"/>
    <mergeCell ref="B3:E3"/>
    <mergeCell ref="B4:E4"/>
    <mergeCell ref="B5:E5"/>
    <mergeCell ref="B6:E6"/>
    <mergeCell ref="A7:E8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461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462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463</v>
      </c>
      <c r="C6" s="12"/>
      <c r="D6" s="12"/>
      <c r="E6" s="12"/>
    </row>
    <row r="7" customFormat="false" ht="15" hidden="false" customHeight="true" outlineLevel="0" collapsed="false">
      <c r="A7" s="13" t="s">
        <v>464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465</v>
      </c>
      <c r="B11" s="5" t="s">
        <v>466</v>
      </c>
      <c r="C11" s="4" t="s">
        <v>467</v>
      </c>
      <c r="D11" s="14" t="n">
        <v>1</v>
      </c>
      <c r="E11" s="6" t="n">
        <v>32.58</v>
      </c>
    </row>
    <row r="12" customFormat="false" ht="15" hidden="false" customHeight="false" outlineLevel="0" collapsed="false">
      <c r="A12" s="4" t="s">
        <v>468</v>
      </c>
      <c r="B12" s="5" t="s">
        <v>469</v>
      </c>
      <c r="C12" s="4" t="s">
        <v>470</v>
      </c>
      <c r="D12" s="14" t="n">
        <v>1</v>
      </c>
      <c r="E12" s="6" t="n">
        <v>62.73</v>
      </c>
    </row>
    <row r="13" customFormat="false" ht="15" hidden="false" customHeight="false" outlineLevel="0" collapsed="false">
      <c r="A13" s="4" t="s">
        <v>471</v>
      </c>
      <c r="B13" s="5" t="s">
        <v>472</v>
      </c>
      <c r="C13" s="4" t="s">
        <v>473</v>
      </c>
      <c r="D13" s="14" t="n">
        <v>4</v>
      </c>
      <c r="E13" s="6" t="n">
        <v>35.49</v>
      </c>
    </row>
    <row r="14" customFormat="false" ht="15" hidden="false" customHeight="false" outlineLevel="0" collapsed="false">
      <c r="A14" s="4" t="s">
        <v>474</v>
      </c>
      <c r="B14" s="5" t="s">
        <v>475</v>
      </c>
      <c r="C14" s="4" t="s">
        <v>104</v>
      </c>
      <c r="D14" s="14" t="n">
        <v>1</v>
      </c>
      <c r="E14" s="6" t="n">
        <v>7.42</v>
      </c>
    </row>
    <row r="15" customFormat="false" ht="15" hidden="false" customHeight="false" outlineLevel="0" collapsed="false">
      <c r="A15" s="4" t="s">
        <v>476</v>
      </c>
      <c r="B15" s="5" t="s">
        <v>477</v>
      </c>
      <c r="C15" s="4" t="s">
        <v>113</v>
      </c>
      <c r="D15" s="14" t="n">
        <v>6</v>
      </c>
      <c r="E15" s="6" t="n">
        <v>35.8</v>
      </c>
    </row>
    <row r="16" customFormat="false" ht="15" hidden="false" customHeight="false" outlineLevel="0" collapsed="false">
      <c r="A16" s="4" t="s">
        <v>478</v>
      </c>
      <c r="B16" s="5" t="s">
        <v>479</v>
      </c>
      <c r="C16" s="4" t="s">
        <v>480</v>
      </c>
      <c r="D16" s="14" t="n">
        <v>1</v>
      </c>
      <c r="E16" s="6" t="n">
        <v>16.7</v>
      </c>
    </row>
    <row r="17" customFormat="false" ht="15" hidden="false" customHeight="false" outlineLevel="0" collapsed="false">
      <c r="A17" s="4" t="s">
        <v>481</v>
      </c>
      <c r="B17" s="5" t="s">
        <v>482</v>
      </c>
      <c r="C17" s="4" t="s">
        <v>378</v>
      </c>
      <c r="D17" s="14" t="n">
        <v>1</v>
      </c>
      <c r="E17" s="6" t="n">
        <v>13.34</v>
      </c>
    </row>
    <row r="18" customFormat="false" ht="15" hidden="false" customHeight="false" outlineLevel="0" collapsed="false">
      <c r="A18" s="4" t="s">
        <v>483</v>
      </c>
      <c r="B18" s="5" t="s">
        <v>484</v>
      </c>
      <c r="C18" s="4" t="s">
        <v>378</v>
      </c>
      <c r="D18" s="14" t="n">
        <v>1</v>
      </c>
      <c r="E18" s="6" t="n">
        <v>18</v>
      </c>
    </row>
    <row r="19" customFormat="false" ht="15" hidden="false" customHeight="false" outlineLevel="0" collapsed="false">
      <c r="A19" s="4" t="s">
        <v>485</v>
      </c>
      <c r="B19" s="5" t="s">
        <v>486</v>
      </c>
      <c r="C19" s="4" t="s">
        <v>487</v>
      </c>
      <c r="D19" s="14" t="n">
        <v>1</v>
      </c>
      <c r="E19" s="6" t="n">
        <v>32.39</v>
      </c>
    </row>
    <row r="20" customFormat="false" ht="15" hidden="false" customHeight="false" outlineLevel="0" collapsed="false">
      <c r="A20" s="4" t="s">
        <v>485</v>
      </c>
      <c r="B20" s="5" t="s">
        <v>486</v>
      </c>
      <c r="C20" s="4" t="s">
        <v>487</v>
      </c>
      <c r="D20" s="14" t="n">
        <v>1</v>
      </c>
      <c r="E20" s="6" t="n">
        <v>32.39</v>
      </c>
    </row>
    <row r="21" customFormat="false" ht="15" hidden="false" customHeight="false" outlineLevel="0" collapsed="false">
      <c r="A21" s="4" t="s">
        <v>488</v>
      </c>
      <c r="B21" s="5" t="s">
        <v>489</v>
      </c>
      <c r="C21" s="4" t="s">
        <v>490</v>
      </c>
      <c r="D21" s="14" t="n">
        <v>1</v>
      </c>
      <c r="E21" s="6" t="n">
        <v>12.9</v>
      </c>
    </row>
    <row r="22" customFormat="false" ht="15" hidden="false" customHeight="false" outlineLevel="0" collapsed="false">
      <c r="A22" s="4" t="s">
        <v>415</v>
      </c>
      <c r="B22" s="5" t="s">
        <v>416</v>
      </c>
      <c r="C22" s="4" t="s">
        <v>417</v>
      </c>
      <c r="D22" s="14" t="n">
        <v>1</v>
      </c>
      <c r="E22" s="6" t="n">
        <v>1.2</v>
      </c>
    </row>
    <row r="23" customFormat="false" ht="15" hidden="false" customHeight="false" outlineLevel="0" collapsed="false">
      <c r="A23" s="17" t="s">
        <v>491</v>
      </c>
      <c r="B23" s="18"/>
      <c r="C23" s="17" t="s">
        <v>10</v>
      </c>
      <c r="D23" s="19"/>
      <c r="E23" s="20"/>
    </row>
    <row r="24" customFormat="false" ht="15" hidden="false" customHeight="false" outlineLevel="0" collapsed="false">
      <c r="A24" s="15" t="s">
        <v>148</v>
      </c>
      <c r="B24" s="15"/>
      <c r="C24" s="15"/>
      <c r="D24" s="15"/>
      <c r="E24" s="16" t="n">
        <f aca="false">SUM(E11:E23)</f>
        <v>300.94</v>
      </c>
    </row>
    <row r="25" customFormat="false" ht="15" hidden="false" customHeight="false" outlineLevel="0" collapsed="false">
      <c r="A25" s="21" t="s">
        <v>231</v>
      </c>
      <c r="B25" s="21"/>
      <c r="C25" s="21"/>
      <c r="D25" s="21"/>
      <c r="E25" s="22" t="n">
        <v>792.24</v>
      </c>
    </row>
  </sheetData>
  <mergeCells count="8">
    <mergeCell ref="A1:E1"/>
    <mergeCell ref="B3:E3"/>
    <mergeCell ref="B4:E4"/>
    <mergeCell ref="B5:E5"/>
    <mergeCell ref="B6:E6"/>
    <mergeCell ref="A7:E8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461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492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493</v>
      </c>
      <c r="C6" s="12"/>
      <c r="D6" s="12"/>
      <c r="E6" s="12"/>
    </row>
    <row r="7" customFormat="false" ht="15" hidden="false" customHeight="true" outlineLevel="0" collapsed="false">
      <c r="A7" s="13" t="s">
        <v>494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495</v>
      </c>
      <c r="B11" s="5" t="s">
        <v>496</v>
      </c>
      <c r="C11" s="4" t="s">
        <v>497</v>
      </c>
      <c r="D11" s="14" t="n">
        <v>1</v>
      </c>
      <c r="E11" s="6" t="n">
        <v>13.77</v>
      </c>
    </row>
    <row r="12" customFormat="false" ht="15" hidden="false" customHeight="false" outlineLevel="0" collapsed="false">
      <c r="A12" s="4" t="s">
        <v>498</v>
      </c>
      <c r="B12" s="5" t="s">
        <v>437</v>
      </c>
      <c r="C12" s="4" t="s">
        <v>499</v>
      </c>
      <c r="D12" s="14" t="n">
        <v>1</v>
      </c>
      <c r="E12" s="6" t="n">
        <v>33.99</v>
      </c>
    </row>
    <row r="13" customFormat="false" ht="15" hidden="false" customHeight="false" outlineLevel="0" collapsed="false">
      <c r="A13" s="4" t="s">
        <v>500</v>
      </c>
      <c r="B13" s="5" t="s">
        <v>501</v>
      </c>
      <c r="C13" s="4" t="s">
        <v>113</v>
      </c>
      <c r="D13" s="14" t="n">
        <v>6</v>
      </c>
      <c r="E13" s="6" t="n">
        <v>62.42</v>
      </c>
    </row>
    <row r="14" customFormat="false" ht="15" hidden="false" customHeight="false" outlineLevel="0" collapsed="false">
      <c r="A14" s="4" t="s">
        <v>300</v>
      </c>
      <c r="B14" s="5" t="s">
        <v>301</v>
      </c>
      <c r="C14" s="4" t="s">
        <v>119</v>
      </c>
      <c r="D14" s="14" t="n">
        <v>4</v>
      </c>
      <c r="E14" s="6" t="n">
        <v>99.6</v>
      </c>
    </row>
    <row r="15" customFormat="false" ht="15" hidden="false" customHeight="false" outlineLevel="0" collapsed="false">
      <c r="A15" s="4" t="s">
        <v>502</v>
      </c>
      <c r="B15" s="5" t="s">
        <v>299</v>
      </c>
      <c r="C15" s="4" t="s">
        <v>119</v>
      </c>
      <c r="D15" s="14" t="n">
        <v>4</v>
      </c>
      <c r="E15" s="6" t="n">
        <v>58.68</v>
      </c>
    </row>
    <row r="16" customFormat="false" ht="15" hidden="false" customHeight="false" outlineLevel="0" collapsed="false">
      <c r="A16" s="4" t="s">
        <v>503</v>
      </c>
      <c r="B16" s="5" t="s">
        <v>504</v>
      </c>
      <c r="C16" s="4" t="s">
        <v>113</v>
      </c>
      <c r="D16" s="14" t="n">
        <v>6</v>
      </c>
      <c r="E16" s="6" t="n">
        <v>46.96</v>
      </c>
    </row>
    <row r="17" customFormat="false" ht="15" hidden="false" customHeight="false" outlineLevel="0" collapsed="false">
      <c r="A17" s="4" t="s">
        <v>505</v>
      </c>
      <c r="B17" s="5" t="s">
        <v>506</v>
      </c>
      <c r="C17" s="4" t="s">
        <v>507</v>
      </c>
      <c r="D17" s="14" t="n">
        <v>1</v>
      </c>
      <c r="E17" s="6" t="n">
        <v>18.29</v>
      </c>
    </row>
    <row r="18" customFormat="false" ht="15" hidden="false" customHeight="false" outlineLevel="0" collapsed="false">
      <c r="A18" s="4" t="s">
        <v>508</v>
      </c>
      <c r="B18" s="5" t="s">
        <v>509</v>
      </c>
      <c r="C18" s="4" t="s">
        <v>510</v>
      </c>
      <c r="D18" s="14" t="n">
        <v>1</v>
      </c>
      <c r="E18" s="6" t="n">
        <v>25.62</v>
      </c>
    </row>
    <row r="19" customFormat="false" ht="15" hidden="false" customHeight="false" outlineLevel="0" collapsed="false">
      <c r="A19" s="4" t="s">
        <v>455</v>
      </c>
      <c r="B19" s="5" t="s">
        <v>456</v>
      </c>
      <c r="C19" s="4" t="s">
        <v>182</v>
      </c>
      <c r="D19" s="14" t="n">
        <v>2</v>
      </c>
      <c r="E19" s="6" t="n">
        <v>45.7</v>
      </c>
    </row>
    <row r="20" customFormat="false" ht="15" hidden="false" customHeight="false" outlineLevel="0" collapsed="false">
      <c r="A20" s="4" t="s">
        <v>511</v>
      </c>
      <c r="B20" s="5" t="s">
        <v>512</v>
      </c>
      <c r="C20" s="4" t="s">
        <v>104</v>
      </c>
      <c r="D20" s="14" t="n">
        <v>1</v>
      </c>
      <c r="E20" s="6" t="n">
        <v>16.8</v>
      </c>
    </row>
    <row r="21" customFormat="false" ht="15" hidden="false" customHeight="false" outlineLevel="0" collapsed="false">
      <c r="A21" s="17" t="s">
        <v>491</v>
      </c>
      <c r="B21" s="18"/>
      <c r="C21" s="17" t="s">
        <v>10</v>
      </c>
      <c r="D21" s="19"/>
      <c r="E21" s="20"/>
    </row>
    <row r="22" customFormat="false" ht="15" hidden="false" customHeight="false" outlineLevel="0" collapsed="false">
      <c r="A22" s="15" t="s">
        <v>148</v>
      </c>
      <c r="B22" s="15"/>
      <c r="C22" s="15"/>
      <c r="D22" s="15"/>
      <c r="E22" s="16" t="n">
        <f aca="false">SUM(E11:E21)</f>
        <v>421.83</v>
      </c>
    </row>
    <row r="23" customFormat="false" ht="15" hidden="false" customHeight="false" outlineLevel="0" collapsed="false">
      <c r="A23" s="21" t="s">
        <v>231</v>
      </c>
      <c r="B23" s="21"/>
      <c r="C23" s="21"/>
      <c r="D23" s="21"/>
      <c r="E23" s="22" t="n">
        <v>784.19</v>
      </c>
    </row>
  </sheetData>
  <mergeCells count="8">
    <mergeCell ref="A1:E1"/>
    <mergeCell ref="B3:E3"/>
    <mergeCell ref="B4:E4"/>
    <mergeCell ref="B5:E5"/>
    <mergeCell ref="B6:E6"/>
    <mergeCell ref="A7:E8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461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392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513</v>
      </c>
      <c r="C6" s="12"/>
      <c r="D6" s="12"/>
      <c r="E6" s="12"/>
    </row>
    <row r="7" customFormat="false" ht="15" hidden="false" customHeight="true" outlineLevel="0" collapsed="false">
      <c r="A7" s="13" t="s">
        <v>514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515</v>
      </c>
      <c r="B11" s="5" t="s">
        <v>516</v>
      </c>
      <c r="C11" s="4" t="s">
        <v>517</v>
      </c>
      <c r="D11" s="14" t="n">
        <v>-1</v>
      </c>
      <c r="E11" s="6" t="n">
        <v>-5.89</v>
      </c>
    </row>
    <row r="12" customFormat="false" ht="15" hidden="false" customHeight="false" outlineLevel="0" collapsed="false">
      <c r="A12" s="4" t="s">
        <v>245</v>
      </c>
      <c r="B12" s="5" t="s">
        <v>518</v>
      </c>
      <c r="C12" s="4" t="s">
        <v>104</v>
      </c>
      <c r="D12" s="14" t="n">
        <v>1</v>
      </c>
      <c r="E12" s="6" t="n">
        <v>7.94</v>
      </c>
    </row>
    <row r="13" customFormat="false" ht="15" hidden="false" customHeight="false" outlineLevel="0" collapsed="false">
      <c r="A13" s="4" t="s">
        <v>243</v>
      </c>
      <c r="B13" s="5" t="s">
        <v>519</v>
      </c>
      <c r="C13" s="4" t="s">
        <v>104</v>
      </c>
      <c r="D13" s="14" t="n">
        <v>1</v>
      </c>
      <c r="E13" s="6" t="n">
        <v>7.94</v>
      </c>
    </row>
    <row r="14" customFormat="false" ht="15" hidden="false" customHeight="false" outlineLevel="0" collapsed="false">
      <c r="A14" s="4" t="s">
        <v>520</v>
      </c>
      <c r="B14" s="5" t="s">
        <v>521</v>
      </c>
      <c r="C14" s="4" t="s">
        <v>104</v>
      </c>
      <c r="D14" s="14" t="n">
        <v>1</v>
      </c>
      <c r="E14" s="6" t="n">
        <v>12.14</v>
      </c>
    </row>
    <row r="15" customFormat="false" ht="15" hidden="false" customHeight="false" outlineLevel="0" collapsed="false">
      <c r="A15" s="4" t="s">
        <v>195</v>
      </c>
      <c r="B15" s="5" t="s">
        <v>257</v>
      </c>
      <c r="C15" s="4" t="s">
        <v>116</v>
      </c>
      <c r="D15" s="14" t="n">
        <v>8</v>
      </c>
      <c r="E15" s="6" t="n">
        <v>22.95</v>
      </c>
    </row>
    <row r="16" customFormat="false" ht="15" hidden="false" customHeight="false" outlineLevel="0" collapsed="false">
      <c r="A16" s="4" t="s">
        <v>318</v>
      </c>
      <c r="B16" s="5" t="s">
        <v>319</v>
      </c>
      <c r="C16" s="4"/>
      <c r="D16" s="14" t="n">
        <v>1</v>
      </c>
      <c r="E16" s="6" t="n">
        <v>39.95</v>
      </c>
    </row>
    <row r="17" customFormat="false" ht="15" hidden="false" customHeight="false" outlineLevel="0" collapsed="false">
      <c r="A17" s="4" t="s">
        <v>318</v>
      </c>
      <c r="B17" s="5" t="s">
        <v>319</v>
      </c>
      <c r="C17" s="4" t="s">
        <v>201</v>
      </c>
      <c r="D17" s="14" t="n">
        <v>-1</v>
      </c>
      <c r="E17" s="6" t="n">
        <v>-39.95</v>
      </c>
    </row>
    <row r="18" customFormat="false" ht="15" hidden="false" customHeight="false" outlineLevel="0" collapsed="false">
      <c r="A18" s="4" t="s">
        <v>272</v>
      </c>
      <c r="B18" s="5" t="s">
        <v>273</v>
      </c>
      <c r="C18" s="4"/>
      <c r="D18" s="14" t="n">
        <v>1</v>
      </c>
      <c r="E18" s="6" t="n">
        <v>27.95</v>
      </c>
    </row>
    <row r="19" customFormat="false" ht="15" hidden="false" customHeight="false" outlineLevel="0" collapsed="false">
      <c r="A19" s="4" t="s">
        <v>255</v>
      </c>
      <c r="B19" s="5" t="s">
        <v>256</v>
      </c>
      <c r="C19" s="4" t="s">
        <v>116</v>
      </c>
      <c r="D19" s="14" t="n">
        <v>8</v>
      </c>
      <c r="E19" s="6" t="n">
        <v>38.95</v>
      </c>
    </row>
    <row r="20" customFormat="false" ht="15" hidden="false" customHeight="false" outlineLevel="0" collapsed="false">
      <c r="A20" s="4" t="s">
        <v>253</v>
      </c>
      <c r="B20" s="5" t="s">
        <v>254</v>
      </c>
      <c r="C20" s="4" t="s">
        <v>104</v>
      </c>
      <c r="D20" s="14" t="n">
        <v>1</v>
      </c>
      <c r="E20" s="6" t="n">
        <v>9.72</v>
      </c>
    </row>
    <row r="21" customFormat="false" ht="15" hidden="false" customHeight="false" outlineLevel="0" collapsed="false">
      <c r="A21" s="4" t="s">
        <v>185</v>
      </c>
      <c r="B21" s="5" t="s">
        <v>186</v>
      </c>
      <c r="C21" s="4" t="s">
        <v>104</v>
      </c>
      <c r="D21" s="14" t="n">
        <v>1</v>
      </c>
      <c r="E21" s="6" t="n">
        <v>11.98</v>
      </c>
    </row>
    <row r="22" customFormat="false" ht="15" hidden="false" customHeight="false" outlineLevel="0" collapsed="false">
      <c r="A22" s="4" t="s">
        <v>185</v>
      </c>
      <c r="B22" s="5" t="s">
        <v>186</v>
      </c>
      <c r="C22" s="4" t="s">
        <v>104</v>
      </c>
      <c r="D22" s="14" t="n">
        <v>1</v>
      </c>
      <c r="E22" s="6" t="n">
        <v>11.98</v>
      </c>
    </row>
    <row r="23" customFormat="false" ht="15" hidden="false" customHeight="false" outlineLevel="0" collapsed="false">
      <c r="A23" s="4" t="s">
        <v>314</v>
      </c>
      <c r="B23" s="5" t="s">
        <v>522</v>
      </c>
      <c r="C23" s="4" t="s">
        <v>375</v>
      </c>
      <c r="D23" s="14" t="n">
        <v>12</v>
      </c>
      <c r="E23" s="6" t="n">
        <v>34.95</v>
      </c>
    </row>
    <row r="24" customFormat="false" ht="15" hidden="false" customHeight="false" outlineLevel="0" collapsed="false">
      <c r="A24" s="4" t="s">
        <v>340</v>
      </c>
      <c r="B24" s="5" t="s">
        <v>341</v>
      </c>
      <c r="C24" s="4"/>
      <c r="D24" s="14" t="n">
        <v>1</v>
      </c>
      <c r="E24" s="6" t="n">
        <v>24.95</v>
      </c>
    </row>
    <row r="25" customFormat="false" ht="15" hidden="false" customHeight="false" outlineLevel="0" collapsed="false">
      <c r="A25" s="4" t="s">
        <v>173</v>
      </c>
      <c r="B25" s="5" t="s">
        <v>174</v>
      </c>
      <c r="C25" s="4"/>
      <c r="D25" s="14" t="n">
        <v>1</v>
      </c>
      <c r="E25" s="6" t="n">
        <v>28.01</v>
      </c>
    </row>
    <row r="26" customFormat="false" ht="15" hidden="false" customHeight="false" outlineLevel="0" collapsed="false">
      <c r="A26" s="4" t="s">
        <v>342</v>
      </c>
      <c r="B26" s="5" t="s">
        <v>343</v>
      </c>
      <c r="C26" s="4"/>
      <c r="D26" s="14" t="n">
        <v>1</v>
      </c>
      <c r="E26" s="6" t="n">
        <v>26.95</v>
      </c>
    </row>
    <row r="27" customFormat="false" ht="15" hidden="false" customHeight="false" outlineLevel="0" collapsed="false">
      <c r="A27" s="4" t="s">
        <v>342</v>
      </c>
      <c r="B27" s="5" t="s">
        <v>343</v>
      </c>
      <c r="C27" s="4"/>
      <c r="D27" s="14" t="n">
        <v>1</v>
      </c>
      <c r="E27" s="6" t="n">
        <v>26.95</v>
      </c>
    </row>
    <row r="28" customFormat="false" ht="15" hidden="false" customHeight="false" outlineLevel="0" collapsed="false">
      <c r="A28" s="4" t="s">
        <v>189</v>
      </c>
      <c r="B28" s="5" t="s">
        <v>190</v>
      </c>
      <c r="C28" s="4"/>
      <c r="D28" s="14" t="n">
        <v>1</v>
      </c>
      <c r="E28" s="6" t="n">
        <v>39.95</v>
      </c>
    </row>
    <row r="29" customFormat="false" ht="15" hidden="false" customHeight="false" outlineLevel="0" collapsed="false">
      <c r="A29" s="4" t="s">
        <v>189</v>
      </c>
      <c r="B29" s="5" t="s">
        <v>523</v>
      </c>
      <c r="C29" s="4"/>
      <c r="D29" s="14" t="n">
        <v>1</v>
      </c>
      <c r="E29" s="6" t="n">
        <v>39.95</v>
      </c>
    </row>
    <row r="30" customFormat="false" ht="15" hidden="false" customHeight="false" outlineLevel="0" collapsed="false">
      <c r="A30" s="4" t="s">
        <v>153</v>
      </c>
      <c r="B30" s="5" t="s">
        <v>154</v>
      </c>
      <c r="C30" s="4" t="s">
        <v>113</v>
      </c>
      <c r="D30" s="14" t="n">
        <v>6</v>
      </c>
      <c r="E30" s="6" t="n">
        <v>45.86</v>
      </c>
    </row>
    <row r="31" customFormat="false" ht="15" hidden="false" customHeight="false" outlineLevel="0" collapsed="false">
      <c r="A31" s="4" t="s">
        <v>524</v>
      </c>
      <c r="B31" s="5" t="s">
        <v>525</v>
      </c>
      <c r="C31" s="4" t="s">
        <v>104</v>
      </c>
      <c r="D31" s="14" t="n">
        <v>1</v>
      </c>
      <c r="E31" s="6" t="n">
        <v>21.42</v>
      </c>
    </row>
    <row r="32" customFormat="false" ht="15" hidden="false" customHeight="false" outlineLevel="0" collapsed="false">
      <c r="A32" s="4" t="s">
        <v>526</v>
      </c>
      <c r="B32" s="5" t="s">
        <v>527</v>
      </c>
      <c r="C32" s="4" t="s">
        <v>295</v>
      </c>
      <c r="D32" s="14" t="n">
        <v>1</v>
      </c>
      <c r="E32" s="6" t="n">
        <v>1.54</v>
      </c>
    </row>
    <row r="33" customFormat="false" ht="15" hidden="false" customHeight="false" outlineLevel="0" collapsed="false">
      <c r="A33" s="4" t="s">
        <v>395</v>
      </c>
      <c r="B33" s="5" t="s">
        <v>396</v>
      </c>
      <c r="C33" s="4" t="s">
        <v>378</v>
      </c>
      <c r="D33" s="14" t="n">
        <v>1</v>
      </c>
      <c r="E33" s="6" t="n">
        <v>1.93</v>
      </c>
    </row>
    <row r="34" customFormat="false" ht="15" hidden="false" customHeight="false" outlineLevel="0" collapsed="false">
      <c r="A34" s="4" t="s">
        <v>395</v>
      </c>
      <c r="B34" s="5" t="s">
        <v>396</v>
      </c>
      <c r="C34" s="4" t="s">
        <v>378</v>
      </c>
      <c r="D34" s="14" t="n">
        <v>1</v>
      </c>
      <c r="E34" s="6" t="n">
        <v>1.93</v>
      </c>
    </row>
    <row r="35" customFormat="false" ht="15" hidden="false" customHeight="false" outlineLevel="0" collapsed="false">
      <c r="A35" s="4" t="s">
        <v>528</v>
      </c>
      <c r="B35" s="5" t="s">
        <v>529</v>
      </c>
      <c r="C35" s="4" t="s">
        <v>378</v>
      </c>
      <c r="D35" s="14" t="n">
        <v>1</v>
      </c>
      <c r="E35" s="6" t="n">
        <v>2.62</v>
      </c>
    </row>
    <row r="36" customFormat="false" ht="15" hidden="false" customHeight="false" outlineLevel="0" collapsed="false">
      <c r="A36" s="4" t="s">
        <v>530</v>
      </c>
      <c r="B36" s="5" t="s">
        <v>531</v>
      </c>
      <c r="C36" s="4" t="s">
        <v>295</v>
      </c>
      <c r="D36" s="14" t="n">
        <v>1</v>
      </c>
      <c r="E36" s="6" t="n">
        <v>0.89</v>
      </c>
    </row>
    <row r="37" customFormat="false" ht="15" hidden="false" customHeight="false" outlineLevel="0" collapsed="false">
      <c r="A37" s="4" t="s">
        <v>530</v>
      </c>
      <c r="B37" s="5" t="s">
        <v>531</v>
      </c>
      <c r="C37" s="4" t="s">
        <v>295</v>
      </c>
      <c r="D37" s="14" t="n">
        <v>1</v>
      </c>
      <c r="E37" s="6" t="n">
        <v>0.89</v>
      </c>
    </row>
    <row r="38" customFormat="false" ht="15" hidden="false" customHeight="false" outlineLevel="0" collapsed="false">
      <c r="A38" s="4" t="s">
        <v>532</v>
      </c>
      <c r="B38" s="5" t="s">
        <v>533</v>
      </c>
      <c r="C38" s="4" t="s">
        <v>378</v>
      </c>
      <c r="D38" s="14" t="n">
        <v>1</v>
      </c>
      <c r="E38" s="6" t="n">
        <v>13.67</v>
      </c>
    </row>
    <row r="39" customFormat="false" ht="15" hidden="false" customHeight="false" outlineLevel="0" collapsed="false">
      <c r="A39" s="4" t="s">
        <v>534</v>
      </c>
      <c r="B39" s="5" t="s">
        <v>535</v>
      </c>
      <c r="C39" s="4" t="s">
        <v>295</v>
      </c>
      <c r="D39" s="14" t="n">
        <v>1</v>
      </c>
      <c r="E39" s="6" t="n">
        <v>18.66</v>
      </c>
    </row>
    <row r="40" customFormat="false" ht="15" hidden="false" customHeight="false" outlineLevel="0" collapsed="false">
      <c r="A40" s="4" t="s">
        <v>536</v>
      </c>
      <c r="B40" s="5" t="s">
        <v>537</v>
      </c>
      <c r="C40" s="4" t="s">
        <v>378</v>
      </c>
      <c r="D40" s="14" t="n">
        <v>1</v>
      </c>
      <c r="E40" s="6" t="n">
        <v>81.37</v>
      </c>
    </row>
    <row r="41" customFormat="false" ht="15" hidden="false" customHeight="false" outlineLevel="0" collapsed="false">
      <c r="A41" s="4" t="s">
        <v>468</v>
      </c>
      <c r="B41" s="5" t="s">
        <v>469</v>
      </c>
      <c r="C41" s="4" t="s">
        <v>470</v>
      </c>
      <c r="D41" s="14" t="n">
        <v>1</v>
      </c>
      <c r="E41" s="6" t="n">
        <v>62.73</v>
      </c>
    </row>
    <row r="42" customFormat="false" ht="15" hidden="false" customHeight="false" outlineLevel="0" collapsed="false">
      <c r="A42" s="4" t="s">
        <v>538</v>
      </c>
      <c r="B42" s="5" t="s">
        <v>539</v>
      </c>
      <c r="C42" s="4" t="s">
        <v>540</v>
      </c>
      <c r="D42" s="14" t="n">
        <v>10</v>
      </c>
      <c r="E42" s="6" t="n">
        <v>45.06</v>
      </c>
    </row>
    <row r="43" customFormat="false" ht="15" hidden="false" customHeight="false" outlineLevel="0" collapsed="false">
      <c r="A43" s="4" t="s">
        <v>538</v>
      </c>
      <c r="B43" s="5" t="s">
        <v>539</v>
      </c>
      <c r="C43" s="4" t="s">
        <v>540</v>
      </c>
      <c r="D43" s="14" t="n">
        <v>10</v>
      </c>
      <c r="E43" s="6" t="n">
        <v>45.06</v>
      </c>
    </row>
    <row r="44" customFormat="false" ht="15" hidden="false" customHeight="false" outlineLevel="0" collapsed="false">
      <c r="A44" s="4" t="s">
        <v>541</v>
      </c>
      <c r="B44" s="5" t="s">
        <v>542</v>
      </c>
      <c r="C44" s="4" t="s">
        <v>540</v>
      </c>
      <c r="D44" s="14" t="n">
        <v>10</v>
      </c>
      <c r="E44" s="6" t="n">
        <v>43.17</v>
      </c>
    </row>
    <row r="45" customFormat="false" ht="15" hidden="false" customHeight="false" outlineLevel="0" collapsed="false">
      <c r="A45" s="4" t="s">
        <v>543</v>
      </c>
      <c r="B45" s="5" t="s">
        <v>544</v>
      </c>
      <c r="C45" s="4" t="s">
        <v>104</v>
      </c>
      <c r="D45" s="14" t="n">
        <v>1</v>
      </c>
      <c r="E45" s="6" t="n">
        <v>10.08</v>
      </c>
    </row>
    <row r="46" customFormat="false" ht="15" hidden="false" customHeight="false" outlineLevel="0" collapsed="false">
      <c r="A46" s="4" t="s">
        <v>545</v>
      </c>
      <c r="B46" s="5" t="s">
        <v>546</v>
      </c>
      <c r="C46" s="4" t="s">
        <v>104</v>
      </c>
      <c r="D46" s="14" t="n">
        <v>1</v>
      </c>
      <c r="E46" s="6" t="n">
        <v>34.65</v>
      </c>
    </row>
    <row r="47" customFormat="false" ht="15" hidden="false" customHeight="false" outlineLevel="0" collapsed="false">
      <c r="A47" s="4" t="s">
        <v>547</v>
      </c>
      <c r="B47" s="5" t="s">
        <v>548</v>
      </c>
      <c r="C47" s="4" t="s">
        <v>549</v>
      </c>
      <c r="D47" s="14" t="n">
        <v>1</v>
      </c>
      <c r="E47" s="6" t="n">
        <v>26.76</v>
      </c>
    </row>
    <row r="48" customFormat="false" ht="15" hidden="false" customHeight="false" outlineLevel="0" collapsed="false">
      <c r="A48" s="4" t="s">
        <v>550</v>
      </c>
      <c r="B48" s="5" t="s">
        <v>551</v>
      </c>
      <c r="C48" s="4" t="s">
        <v>552</v>
      </c>
      <c r="D48" s="14" t="n">
        <v>1</v>
      </c>
      <c r="E48" s="6" t="n">
        <v>33.92</v>
      </c>
    </row>
    <row r="49" customFormat="false" ht="15" hidden="false" customHeight="false" outlineLevel="0" collapsed="false">
      <c r="A49" s="15" t="s">
        <v>148</v>
      </c>
      <c r="B49" s="15"/>
      <c r="C49" s="15"/>
      <c r="D49" s="15"/>
      <c r="E49" s="16" t="n">
        <f aca="false">SUM(E11:E48)</f>
        <v>859.58</v>
      </c>
    </row>
  </sheetData>
  <mergeCells count="7">
    <mergeCell ref="A1:E1"/>
    <mergeCell ref="B3:E3"/>
    <mergeCell ref="B4:E4"/>
    <mergeCell ref="B5:E5"/>
    <mergeCell ref="B6:E6"/>
    <mergeCell ref="A7:E8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85</v>
      </c>
      <c r="B3" s="12" t="s">
        <v>461</v>
      </c>
      <c r="C3" s="12"/>
      <c r="D3" s="12"/>
      <c r="E3" s="12"/>
    </row>
    <row r="4" customFormat="false" ht="15" hidden="false" customHeight="false" outlineLevel="0" collapsed="false">
      <c r="A4" s="11" t="s">
        <v>87</v>
      </c>
      <c r="B4" s="12" t="s">
        <v>10</v>
      </c>
      <c r="C4" s="12"/>
      <c r="D4" s="12"/>
      <c r="E4" s="12"/>
    </row>
    <row r="5" customFormat="false" ht="15" hidden="false" customHeight="false" outlineLevel="0" collapsed="false">
      <c r="A5" s="11" t="s">
        <v>89</v>
      </c>
      <c r="B5" s="12" t="s">
        <v>392</v>
      </c>
      <c r="C5" s="12"/>
      <c r="D5" s="12"/>
      <c r="E5" s="12"/>
    </row>
    <row r="6" customFormat="false" ht="15" hidden="false" customHeight="false" outlineLevel="0" collapsed="false">
      <c r="A6" s="11" t="s">
        <v>91</v>
      </c>
      <c r="B6" s="12" t="s">
        <v>553</v>
      </c>
      <c r="C6" s="12"/>
      <c r="D6" s="12"/>
      <c r="E6" s="12"/>
    </row>
    <row r="7" customFormat="false" ht="15" hidden="false" customHeight="true" outlineLevel="0" collapsed="false">
      <c r="A7" s="13" t="s">
        <v>554</v>
      </c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10" customFormat="false" ht="15" hidden="false" customHeight="false" outlineLevel="0" collapsed="false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</row>
    <row r="11" customFormat="false" ht="15" hidden="false" customHeight="false" outlineLevel="0" collapsed="false">
      <c r="A11" s="4" t="s">
        <v>555</v>
      </c>
      <c r="B11" s="5" t="s">
        <v>556</v>
      </c>
      <c r="C11" s="4" t="s">
        <v>104</v>
      </c>
      <c r="D11" s="14" t="n">
        <v>1</v>
      </c>
      <c r="E11" s="6" t="n">
        <v>24.65</v>
      </c>
    </row>
    <row r="12" customFormat="false" ht="15" hidden="false" customHeight="false" outlineLevel="0" collapsed="false">
      <c r="A12" s="4" t="s">
        <v>302</v>
      </c>
      <c r="B12" s="5" t="s">
        <v>303</v>
      </c>
      <c r="C12" s="4" t="s">
        <v>104</v>
      </c>
      <c r="D12" s="14" t="n">
        <v>1</v>
      </c>
      <c r="E12" s="6" t="n">
        <v>8.94</v>
      </c>
    </row>
    <row r="13" customFormat="false" ht="15" hidden="false" customHeight="false" outlineLevel="0" collapsed="false">
      <c r="A13" s="4" t="s">
        <v>557</v>
      </c>
      <c r="B13" s="5" t="s">
        <v>558</v>
      </c>
      <c r="C13" s="4" t="s">
        <v>295</v>
      </c>
      <c r="D13" s="14" t="n">
        <v>1</v>
      </c>
      <c r="E13" s="6" t="n">
        <v>22.92</v>
      </c>
    </row>
    <row r="14" customFormat="false" ht="15" hidden="false" customHeight="false" outlineLevel="0" collapsed="false">
      <c r="A14" s="4" t="s">
        <v>559</v>
      </c>
      <c r="B14" s="5" t="s">
        <v>560</v>
      </c>
      <c r="C14" s="4" t="s">
        <v>104</v>
      </c>
      <c r="D14" s="14" t="n">
        <v>1</v>
      </c>
      <c r="E14" s="6" t="n">
        <v>48.5</v>
      </c>
    </row>
    <row r="15" customFormat="false" ht="15" hidden="false" customHeight="false" outlineLevel="0" collapsed="false">
      <c r="A15" s="4" t="s">
        <v>561</v>
      </c>
      <c r="B15" s="5" t="s">
        <v>562</v>
      </c>
      <c r="C15" s="4" t="s">
        <v>104</v>
      </c>
      <c r="D15" s="14" t="n">
        <v>1</v>
      </c>
      <c r="E15" s="6" t="n">
        <v>14.82</v>
      </c>
    </row>
    <row r="16" customFormat="false" ht="15" hidden="false" customHeight="false" outlineLevel="0" collapsed="false">
      <c r="A16" s="4" t="s">
        <v>563</v>
      </c>
      <c r="B16" s="5" t="s">
        <v>564</v>
      </c>
      <c r="C16" s="4" t="s">
        <v>104</v>
      </c>
      <c r="D16" s="14" t="n">
        <v>1</v>
      </c>
      <c r="E16" s="6" t="n">
        <v>26.74</v>
      </c>
    </row>
    <row r="17" customFormat="false" ht="15" hidden="false" customHeight="false" outlineLevel="0" collapsed="false">
      <c r="A17" s="4" t="s">
        <v>296</v>
      </c>
      <c r="B17" s="5" t="s">
        <v>297</v>
      </c>
      <c r="C17" s="4" t="s">
        <v>104</v>
      </c>
      <c r="D17" s="14" t="n">
        <v>1</v>
      </c>
      <c r="E17" s="6" t="n">
        <v>19.13</v>
      </c>
    </row>
    <row r="18" customFormat="false" ht="15" hidden="false" customHeight="false" outlineLevel="0" collapsed="false">
      <c r="A18" s="4" t="s">
        <v>296</v>
      </c>
      <c r="B18" s="5" t="s">
        <v>297</v>
      </c>
      <c r="C18" s="4" t="s">
        <v>104</v>
      </c>
      <c r="D18" s="14" t="n">
        <v>1</v>
      </c>
      <c r="E18" s="6" t="n">
        <v>19.13</v>
      </c>
    </row>
    <row r="19" customFormat="false" ht="15" hidden="false" customHeight="false" outlineLevel="0" collapsed="false">
      <c r="A19" s="4" t="s">
        <v>296</v>
      </c>
      <c r="B19" s="5" t="s">
        <v>297</v>
      </c>
      <c r="C19" s="4" t="s">
        <v>565</v>
      </c>
      <c r="D19" s="14" t="n">
        <v>-2</v>
      </c>
      <c r="E19" s="6" t="n">
        <v>-38.26</v>
      </c>
    </row>
    <row r="20" customFormat="false" ht="15" hidden="false" customHeight="false" outlineLevel="0" collapsed="false">
      <c r="A20" s="4" t="s">
        <v>296</v>
      </c>
      <c r="B20" s="5" t="s">
        <v>297</v>
      </c>
      <c r="C20" s="4" t="s">
        <v>119</v>
      </c>
      <c r="D20" s="14" t="n">
        <v>4</v>
      </c>
      <c r="E20" s="6" t="n">
        <v>64.9</v>
      </c>
    </row>
    <row r="21" customFormat="false" ht="15" hidden="false" customHeight="false" outlineLevel="0" collapsed="false">
      <c r="A21" s="4" t="s">
        <v>304</v>
      </c>
      <c r="B21" s="5" t="s">
        <v>305</v>
      </c>
      <c r="C21" s="4" t="s">
        <v>113</v>
      </c>
      <c r="D21" s="14" t="n">
        <v>6</v>
      </c>
      <c r="E21" s="6" t="n">
        <v>31.2</v>
      </c>
    </row>
    <row r="22" customFormat="false" ht="15" hidden="false" customHeight="false" outlineLevel="0" collapsed="false">
      <c r="A22" s="4" t="s">
        <v>566</v>
      </c>
      <c r="B22" s="5" t="s">
        <v>567</v>
      </c>
      <c r="C22" s="4" t="s">
        <v>568</v>
      </c>
      <c r="D22" s="14" t="n">
        <v>1</v>
      </c>
      <c r="E22" s="6" t="n">
        <v>12.42</v>
      </c>
    </row>
    <row r="23" customFormat="false" ht="15" hidden="false" customHeight="false" outlineLevel="0" collapsed="false">
      <c r="A23" s="4" t="s">
        <v>566</v>
      </c>
      <c r="B23" s="5" t="s">
        <v>567</v>
      </c>
      <c r="C23" s="4" t="s">
        <v>568</v>
      </c>
      <c r="D23" s="14" t="n">
        <v>1</v>
      </c>
      <c r="E23" s="6" t="n">
        <v>12.42</v>
      </c>
    </row>
    <row r="24" customFormat="false" ht="15" hidden="false" customHeight="false" outlineLevel="0" collapsed="false">
      <c r="A24" s="4" t="s">
        <v>566</v>
      </c>
      <c r="B24" s="5" t="s">
        <v>567</v>
      </c>
      <c r="C24" s="4" t="s">
        <v>517</v>
      </c>
      <c r="D24" s="14" t="n">
        <v>-1</v>
      </c>
      <c r="E24" s="6" t="n">
        <v>-12.42</v>
      </c>
    </row>
    <row r="25" customFormat="false" ht="15" hidden="false" customHeight="false" outlineLevel="0" collapsed="false">
      <c r="A25" s="4" t="s">
        <v>471</v>
      </c>
      <c r="B25" s="5" t="s">
        <v>472</v>
      </c>
      <c r="C25" s="4" t="s">
        <v>295</v>
      </c>
      <c r="D25" s="14" t="n">
        <v>1</v>
      </c>
      <c r="E25" s="6" t="n">
        <v>13.17</v>
      </c>
    </row>
    <row r="26" customFormat="false" ht="15" hidden="false" customHeight="false" outlineLevel="0" collapsed="false">
      <c r="A26" s="4" t="s">
        <v>471</v>
      </c>
      <c r="B26" s="5" t="s">
        <v>472</v>
      </c>
      <c r="C26" s="4" t="s">
        <v>295</v>
      </c>
      <c r="D26" s="14" t="n">
        <v>1</v>
      </c>
      <c r="E26" s="6" t="n">
        <v>13.17</v>
      </c>
    </row>
    <row r="27" customFormat="false" ht="15" hidden="false" customHeight="false" outlineLevel="0" collapsed="false">
      <c r="A27" s="4" t="s">
        <v>569</v>
      </c>
      <c r="B27" s="5" t="s">
        <v>570</v>
      </c>
      <c r="C27" s="4" t="s">
        <v>104</v>
      </c>
      <c r="D27" s="14" t="n">
        <v>1</v>
      </c>
      <c r="E27" s="6" t="n">
        <v>23.99</v>
      </c>
    </row>
    <row r="28" customFormat="false" ht="15" hidden="false" customHeight="false" outlineLevel="0" collapsed="false">
      <c r="A28" s="4" t="s">
        <v>571</v>
      </c>
      <c r="B28" s="5" t="s">
        <v>572</v>
      </c>
      <c r="C28" s="4" t="s">
        <v>104</v>
      </c>
      <c r="D28" s="14" t="n">
        <v>1</v>
      </c>
      <c r="E28" s="6" t="n">
        <v>34.2</v>
      </c>
    </row>
    <row r="29" customFormat="false" ht="15" hidden="false" customHeight="false" outlineLevel="0" collapsed="false">
      <c r="A29" s="4" t="s">
        <v>573</v>
      </c>
      <c r="B29" s="5" t="s">
        <v>574</v>
      </c>
      <c r="C29" s="4" t="s">
        <v>378</v>
      </c>
      <c r="D29" s="14" t="n">
        <v>1</v>
      </c>
      <c r="E29" s="6" t="n">
        <v>7.29</v>
      </c>
    </row>
    <row r="30" customFormat="false" ht="15" hidden="false" customHeight="false" outlineLevel="0" collapsed="false">
      <c r="A30" s="4" t="s">
        <v>575</v>
      </c>
      <c r="B30" s="5" t="s">
        <v>576</v>
      </c>
      <c r="C30" s="4" t="s">
        <v>104</v>
      </c>
      <c r="D30" s="14" t="n">
        <v>1</v>
      </c>
      <c r="E30" s="6" t="n">
        <v>12.3</v>
      </c>
    </row>
    <row r="31" customFormat="false" ht="15" hidden="false" customHeight="false" outlineLevel="0" collapsed="false">
      <c r="A31" s="4" t="s">
        <v>577</v>
      </c>
      <c r="B31" s="5" t="s">
        <v>578</v>
      </c>
      <c r="C31" s="4" t="s">
        <v>579</v>
      </c>
      <c r="D31" s="14" t="n">
        <v>1</v>
      </c>
      <c r="E31" s="6" t="n">
        <v>40.61</v>
      </c>
    </row>
    <row r="32" customFormat="false" ht="15" hidden="false" customHeight="false" outlineLevel="0" collapsed="false">
      <c r="A32" s="4" t="s">
        <v>415</v>
      </c>
      <c r="B32" s="5" t="s">
        <v>416</v>
      </c>
      <c r="C32" s="4" t="s">
        <v>417</v>
      </c>
      <c r="D32" s="14" t="n">
        <v>1</v>
      </c>
      <c r="E32" s="6" t="n">
        <v>1.2</v>
      </c>
    </row>
    <row r="33" customFormat="false" ht="15" hidden="false" customHeight="false" outlineLevel="0" collapsed="false">
      <c r="A33" s="4" t="s">
        <v>580</v>
      </c>
      <c r="B33" s="5" t="s">
        <v>581</v>
      </c>
      <c r="C33" s="4" t="s">
        <v>582</v>
      </c>
      <c r="D33" s="14" t="n">
        <v>1</v>
      </c>
      <c r="E33" s="6" t="n">
        <v>18</v>
      </c>
    </row>
    <row r="34" customFormat="false" ht="15" hidden="false" customHeight="false" outlineLevel="0" collapsed="false">
      <c r="A34" s="4" t="s">
        <v>580</v>
      </c>
      <c r="B34" s="5" t="s">
        <v>581</v>
      </c>
      <c r="C34" s="4" t="s">
        <v>582</v>
      </c>
      <c r="D34" s="14" t="n">
        <v>1</v>
      </c>
      <c r="E34" s="6" t="n">
        <v>18</v>
      </c>
    </row>
    <row r="35" customFormat="false" ht="15" hidden="false" customHeight="false" outlineLevel="0" collapsed="false">
      <c r="A35" s="4" t="s">
        <v>583</v>
      </c>
      <c r="B35" s="5" t="s">
        <v>584</v>
      </c>
      <c r="C35" s="4" t="s">
        <v>295</v>
      </c>
      <c r="D35" s="14" t="n">
        <v>1</v>
      </c>
      <c r="E35" s="6" t="n">
        <v>2.1</v>
      </c>
    </row>
    <row r="36" customFormat="false" ht="15" hidden="false" customHeight="false" outlineLevel="0" collapsed="false">
      <c r="A36" s="4" t="s">
        <v>583</v>
      </c>
      <c r="B36" s="5" t="s">
        <v>584</v>
      </c>
      <c r="C36" s="4" t="s">
        <v>295</v>
      </c>
      <c r="D36" s="14" t="n">
        <v>1</v>
      </c>
      <c r="E36" s="6" t="n">
        <v>2.1</v>
      </c>
    </row>
    <row r="37" customFormat="false" ht="15" hidden="false" customHeight="false" outlineLevel="0" collapsed="false">
      <c r="A37" s="4" t="s">
        <v>583</v>
      </c>
      <c r="B37" s="5" t="s">
        <v>584</v>
      </c>
      <c r="C37" s="4" t="s">
        <v>295</v>
      </c>
      <c r="D37" s="14" t="n">
        <v>1</v>
      </c>
      <c r="E37" s="6" t="n">
        <v>2.1</v>
      </c>
    </row>
    <row r="38" customFormat="false" ht="15" hidden="false" customHeight="false" outlineLevel="0" collapsed="false">
      <c r="A38" s="4" t="s">
        <v>583</v>
      </c>
      <c r="B38" s="5" t="s">
        <v>584</v>
      </c>
      <c r="C38" s="4" t="s">
        <v>295</v>
      </c>
      <c r="D38" s="14" t="n">
        <v>1</v>
      </c>
      <c r="E38" s="6" t="n">
        <v>2.1</v>
      </c>
    </row>
    <row r="39" customFormat="false" ht="15" hidden="false" customHeight="false" outlineLevel="0" collapsed="false">
      <c r="A39" s="4" t="s">
        <v>583</v>
      </c>
      <c r="B39" s="5" t="s">
        <v>584</v>
      </c>
      <c r="C39" s="4" t="s">
        <v>295</v>
      </c>
      <c r="D39" s="14" t="n">
        <v>1</v>
      </c>
      <c r="E39" s="6" t="n">
        <v>2.1</v>
      </c>
    </row>
    <row r="40" customFormat="false" ht="15" hidden="false" customHeight="false" outlineLevel="0" collapsed="false">
      <c r="A40" s="4" t="s">
        <v>541</v>
      </c>
      <c r="B40" s="5" t="s">
        <v>542</v>
      </c>
      <c r="C40" s="4" t="s">
        <v>540</v>
      </c>
      <c r="D40" s="14" t="n">
        <v>10</v>
      </c>
      <c r="E40" s="6" t="n">
        <v>42.99</v>
      </c>
    </row>
    <row r="41" customFormat="false" ht="15" hidden="false" customHeight="false" outlineLevel="0" collapsed="false">
      <c r="A41" s="4" t="s">
        <v>585</v>
      </c>
      <c r="B41" s="5" t="s">
        <v>586</v>
      </c>
      <c r="C41" s="4" t="s">
        <v>587</v>
      </c>
      <c r="D41" s="14" t="n">
        <v>1</v>
      </c>
      <c r="E41" s="6" t="n">
        <v>17.88</v>
      </c>
    </row>
    <row r="42" customFormat="false" ht="15" hidden="false" customHeight="false" outlineLevel="0" collapsed="false">
      <c r="A42" s="4" t="s">
        <v>588</v>
      </c>
      <c r="B42" s="5" t="s">
        <v>589</v>
      </c>
      <c r="C42" s="4" t="s">
        <v>590</v>
      </c>
      <c r="D42" s="14" t="n">
        <v>1</v>
      </c>
      <c r="E42" s="6" t="n">
        <v>24.24</v>
      </c>
    </row>
    <row r="43" customFormat="false" ht="15" hidden="false" customHeight="false" outlineLevel="0" collapsed="false">
      <c r="A43" s="4" t="s">
        <v>591</v>
      </c>
      <c r="B43" s="5" t="s">
        <v>592</v>
      </c>
      <c r="C43" s="4" t="s">
        <v>593</v>
      </c>
      <c r="D43" s="14" t="n">
        <v>1</v>
      </c>
      <c r="E43" s="6" t="n">
        <v>31.99</v>
      </c>
    </row>
    <row r="44" customFormat="false" ht="15" hidden="false" customHeight="false" outlineLevel="0" collapsed="false">
      <c r="A44" s="4" t="s">
        <v>591</v>
      </c>
      <c r="B44" s="5" t="s">
        <v>592</v>
      </c>
      <c r="C44" s="4" t="s">
        <v>593</v>
      </c>
      <c r="D44" s="14" t="n">
        <v>1</v>
      </c>
      <c r="E44" s="6" t="n">
        <v>31.99</v>
      </c>
    </row>
    <row r="45" customFormat="false" ht="15" hidden="false" customHeight="false" outlineLevel="0" collapsed="false">
      <c r="A45" s="4" t="s">
        <v>588</v>
      </c>
      <c r="B45" s="5" t="s">
        <v>589</v>
      </c>
      <c r="C45" s="4" t="s">
        <v>590</v>
      </c>
      <c r="D45" s="14" t="n">
        <v>1</v>
      </c>
      <c r="E45" s="6" t="n">
        <v>24.24</v>
      </c>
    </row>
    <row r="46" customFormat="false" ht="15" hidden="false" customHeight="false" outlineLevel="0" collapsed="false">
      <c r="A46" s="4" t="s">
        <v>293</v>
      </c>
      <c r="B46" s="5" t="s">
        <v>294</v>
      </c>
      <c r="C46" s="4" t="s">
        <v>295</v>
      </c>
      <c r="D46" s="14" t="n">
        <v>1</v>
      </c>
      <c r="E46" s="6" t="n">
        <v>16.86</v>
      </c>
    </row>
    <row r="47" customFormat="false" ht="15" hidden="false" customHeight="false" outlineLevel="0" collapsed="false">
      <c r="A47" s="4" t="s">
        <v>594</v>
      </c>
      <c r="B47" s="5" t="s">
        <v>595</v>
      </c>
      <c r="C47" s="4" t="s">
        <v>378</v>
      </c>
      <c r="D47" s="14" t="n">
        <v>1</v>
      </c>
      <c r="E47" s="6" t="n">
        <v>12.53</v>
      </c>
    </row>
    <row r="48" customFormat="false" ht="15" hidden="false" customHeight="false" outlineLevel="0" collapsed="false">
      <c r="A48" s="4" t="s">
        <v>596</v>
      </c>
      <c r="B48" s="5" t="s">
        <v>597</v>
      </c>
      <c r="C48" s="4" t="s">
        <v>104</v>
      </c>
      <c r="D48" s="14" t="n">
        <v>1</v>
      </c>
      <c r="E48" s="6" t="n">
        <v>14.85</v>
      </c>
    </row>
    <row r="49" customFormat="false" ht="15" hidden="false" customHeight="false" outlineLevel="0" collapsed="false">
      <c r="A49" s="4" t="s">
        <v>485</v>
      </c>
      <c r="B49" s="5" t="s">
        <v>486</v>
      </c>
      <c r="C49" s="4" t="s">
        <v>378</v>
      </c>
      <c r="D49" s="14" t="n">
        <v>1</v>
      </c>
      <c r="E49" s="6" t="n">
        <v>32.91</v>
      </c>
    </row>
    <row r="50" customFormat="false" ht="15" hidden="false" customHeight="false" outlineLevel="0" collapsed="false">
      <c r="A50" s="17" t="s">
        <v>598</v>
      </c>
      <c r="B50" s="18"/>
      <c r="C50" s="17" t="s">
        <v>10</v>
      </c>
      <c r="D50" s="19"/>
      <c r="E50" s="20"/>
    </row>
    <row r="51" customFormat="false" ht="15" hidden="false" customHeight="false" outlineLevel="0" collapsed="false">
      <c r="A51" s="15" t="s">
        <v>148</v>
      </c>
      <c r="B51" s="15"/>
      <c r="C51" s="15"/>
      <c r="D51" s="15"/>
      <c r="E51" s="16" t="n">
        <f aca="false">SUM(E11:E50)</f>
        <v>698</v>
      </c>
    </row>
  </sheetData>
  <mergeCells count="7">
    <mergeCell ref="A1:E1"/>
    <mergeCell ref="B3:E3"/>
    <mergeCell ref="B4:E4"/>
    <mergeCell ref="B5:E5"/>
    <mergeCell ref="B6:E6"/>
    <mergeCell ref="A7:E8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2026-08-12T13:55:41Z</dcterms:created>
  <dc:creator>openpyxl</dc:creator>
  <dc:description/>
  <dc:language>en-US</dc:language>
  <cp:lastModifiedBy/>
  <dcterms:modified xsi:type="dcterms:W3CDTF">2026-08-12T13:55:41Z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