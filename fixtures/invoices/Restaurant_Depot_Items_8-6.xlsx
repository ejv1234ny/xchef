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By Categ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<sst xmlns="http://schemas.openxmlformats.org/spreadsheetml/2006/main" count="1029" uniqueCount="315">
  <si>
    <t xml:space="preserve">Spend by Category</t>
  </si>
  <si>
    <t xml:space="preserve">Totals of legible line items only. Several receipts were partially scanned, so these are floors, not full receipt totals (see the detailed per-receipt workbook for printed grand totals).</t>
  </si>
  <si>
    <t xml:space="preserve">Category</t>
  </si>
  <si>
    <t xml:space="preserve"># Items</t>
  </si>
  <si>
    <t xml:space="preserve">Legible Total</t>
  </si>
  <si>
    <t xml:space="preserve">Meats, Poultry &amp; Seafood</t>
  </si>
  <si>
    <t xml:space="preserve">Cheeses</t>
  </si>
  <si>
    <t xml:space="preserve">Fruits &amp; Vegetables</t>
  </si>
  <si>
    <t xml:space="preserve">Dairy &amp; Eggs</t>
  </si>
  <si>
    <t xml:space="preserve">Frozen</t>
  </si>
  <si>
    <t xml:space="preserve">Bakery, Snacks &amp; Candy</t>
  </si>
  <si>
    <t xml:space="preserve">Pantry, Sauces &amp; Seasonings</t>
  </si>
  <si>
    <t xml:space="preserve">Beverages</t>
  </si>
  <si>
    <t xml:space="preserve">Supplies &amp; Disposables</t>
  </si>
  <si>
    <t xml:space="preserve">Discounts &amp; Adjustments</t>
  </si>
  <si>
    <t xml:space="preserve">TOTAL (legible items)</t>
  </si>
  <si>
    <t xml:space="preserve">Restaurant Depot — Items by Category</t>
  </si>
  <si>
    <t xml:space="preserve">Every legible line item across all receipts (Store #802, buyer Erin Hunnewell), grouped by category. Each row is one line as rung on a receipt; the Source column points to the receipt sheet in the detailed workbook. Voids/discounts are shown as negatives.</t>
  </si>
  <si>
    <t xml:space="preserve">Meats, Poultry &amp; Seafood   (39 items)</t>
  </si>
  <si>
    <t xml:space="preserve">Item</t>
  </si>
  <si>
    <t xml:space="preserve">Detail</t>
  </si>
  <si>
    <t xml:space="preserve">Qty</t>
  </si>
  <si>
    <t xml:space="preserve">Amount</t>
  </si>
  <si>
    <t xml:space="preserve">Source (receipt)</t>
  </si>
  <si>
    <t xml:space="preserve">BCN LEIDY 1822 15# HW</t>
  </si>
  <si>
    <t xml:space="preserve">Moose I13372 0722</t>
  </si>
  <si>
    <t xml:space="preserve">BF ANG GROUND CHUK R/W</t>
  </si>
  <si>
    <t xml:space="preserve">60.4 LB @ $5.36/LB</t>
  </si>
  <si>
    <t xml:space="preserve">Mad Moose 0806</t>
  </si>
  <si>
    <t xml:space="preserve">60.9 LB @ $4.93/LB</t>
  </si>
  <si>
    <t xml:space="preserve">63.3 LB @ $4.93/LB</t>
  </si>
  <si>
    <t xml:space="preserve">63.6 LB @ $4.93/LB</t>
  </si>
  <si>
    <t xml:space="preserve">59.2 LB @ $5.09/LB</t>
  </si>
  <si>
    <t xml:space="preserve">Mad Moose I9681 0722</t>
  </si>
  <si>
    <t xml:space="preserve">60.6 LB @ $4.89/LB</t>
  </si>
  <si>
    <t xml:space="preserve">60.2 LB @ $4.89/LB</t>
  </si>
  <si>
    <t xml:space="preserve">59.0 LB @ $4.89/LB</t>
  </si>
  <si>
    <t xml:space="preserve">60.0 LB @ $4.89/LB</t>
  </si>
  <si>
    <t xml:space="preserve">59.1 LB @ $4.89/LB</t>
  </si>
  <si>
    <t xml:space="preserve">CHIC BNLS THIGH HALAL</t>
  </si>
  <si>
    <t xml:space="preserve">40 LB @ $1.74/LB</t>
  </si>
  <si>
    <t xml:space="preserve">CHIC BRS BNL HALAL R/W</t>
  </si>
  <si>
    <t xml:space="preserve">40 LB @ $1.78/LB</t>
  </si>
  <si>
    <t xml:space="preserve">CHIC BRST TNDR/OUT</t>
  </si>
  <si>
    <t xml:space="preserve">80 LB @ $1.46/LB (UPC appr #270772)</t>
  </si>
  <si>
    <t xml:space="preserve">40 LB @ $1.46/LB (UPC appr #270772)</t>
  </si>
  <si>
    <t xml:space="preserve">CHIC WNG JUMB PRTY</t>
  </si>
  <si>
    <t xml:space="preserve">40 LB @ $1.79/LB</t>
  </si>
  <si>
    <t xml:space="preserve">40 LB @ $1.95/LB</t>
  </si>
  <si>
    <t xml:space="preserve">CHX GV GRILL HALAL 10LBS</t>
  </si>
  <si>
    <t xml:space="preserve">Mad Moose I968 0722</t>
  </si>
  <si>
    <t xml:space="preserve">EZ POKE TUNA 10LB</t>
  </si>
  <si>
    <t xml:space="preserve">FRSHBRNZIN 16-800 R/W</t>
  </si>
  <si>
    <t xml:space="preserve">22.05 LB @ $7.59/LB</t>
  </si>
  <si>
    <t xml:space="preserve">GROUND PORK 5LBS</t>
  </si>
  <si>
    <t xml:space="preserve">C · 1cs/7u</t>
  </si>
  <si>
    <t xml:space="preserve">LI SOUND OYSTERS 50CT</t>
  </si>
  <si>
    <t xml:space="preserve">PEPPERNI 12.5# MAM</t>
  </si>
  <si>
    <t xml:space="preserve">C · 1cs/2u</t>
  </si>
  <si>
    <t xml:space="preserve">PROSCIUTTO DANIELE</t>
  </si>
  <si>
    <t xml:space="preserve">13.21 LB @ $6.49/LB</t>
  </si>
  <si>
    <t xml:space="preserve">TURKEY RTC FOIL</t>
  </si>
  <si>
    <t xml:space="preserve">23.38 LB @ $3.96/LB</t>
  </si>
  <si>
    <t xml:space="preserve">Mad Moose 0815 recall</t>
  </si>
  <si>
    <t xml:space="preserve">24.66 LB @ $3.96/LB</t>
  </si>
  <si>
    <t xml:space="preserve">Meats, Poultry &amp; Seafood — subtotal</t>
  </si>
  <si>
    <t xml:space="preserve">Cheeses   (15 items)</t>
  </si>
  <si>
    <t xml:space="preserve">CHZ ASIAGO SHRD SI 4/5LB</t>
  </si>
  <si>
    <t xml:space="preserve">U</t>
  </si>
  <si>
    <t xml:space="preserve">Receipt S01</t>
  </si>
  <si>
    <t xml:space="preserve">CHZ BLU CRUM TC 5#</t>
  </si>
  <si>
    <t xml:space="preserve">Moose Loose 0818</t>
  </si>
  <si>
    <t xml:space="preserve">CHZ CREAM LOAF JF 3LB</t>
  </si>
  <si>
    <t xml:space="preserve">C · 1cs/10u</t>
  </si>
  <si>
    <t xml:space="preserve">CHZ GOAT PAIL 2/4LB2</t>
  </si>
  <si>
    <t xml:space="preserve">CHZ MOZZ THIN SLCD 8/LB</t>
  </si>
  <si>
    <t xml:space="preserve">C · 1cs/8u</t>
  </si>
  <si>
    <t xml:space="preserve">CHZ PARM SHV DOM 4/5LB</t>
  </si>
  <si>
    <t xml:space="preserve">C · 1cs/4u</t>
  </si>
  <si>
    <t xml:space="preserve">CHZ RICOTA W SUPRE 3LB</t>
  </si>
  <si>
    <t xml:space="preserve">C · 1cs/6u</t>
  </si>
  <si>
    <t xml:space="preserve">CHZ SMOKED GOUDA R/W</t>
  </si>
  <si>
    <t xml:space="preserve">6.04 LB @ $4.13/LB</t>
  </si>
  <si>
    <t xml:space="preserve">6.22 LB @ $4.13/LB</t>
  </si>
  <si>
    <t xml:space="preserve">5.77 LB @ $3.94/LB</t>
  </si>
  <si>
    <t xml:space="preserve">Moose I4710 0708</t>
  </si>
  <si>
    <t xml:space="preserve">6.39 LB @ $3.94/LB</t>
  </si>
  <si>
    <t xml:space="preserve">5.99 LB @ $3.94/LB</t>
  </si>
  <si>
    <t xml:space="preserve">Cheeses — subtotal</t>
  </si>
  <si>
    <t xml:space="preserve">Fruits &amp; Vegetables   (106 items)</t>
  </si>
  <si>
    <t xml:space="preserve">PD 12X6 MINI CUCS 1LB</t>
  </si>
  <si>
    <t xml:space="preserve">PD A/BOY7 6 ROM HEART</t>
  </si>
  <si>
    <t xml:space="preserve">PD APL GRANY</t>
  </si>
  <si>
    <t xml:space="preserve">PD ASPARAGUS LRG</t>
  </si>
  <si>
    <t xml:space="preserve">V void</t>
  </si>
  <si>
    <t xml:space="preserve">PD AVOCADO HASS</t>
  </si>
  <si>
    <t xml:space="preserve">PD BABY ARUGULA BW 3LB</t>
  </si>
  <si>
    <t xml:space="preserve">PD BASIL 1LB</t>
  </si>
  <si>
    <t xml:space="preserve">PD BEETS LOOSE 25# CASE</t>
  </si>
  <si>
    <t xml:space="preserve">PD BLUEBERY 18OZ</t>
  </si>
  <si>
    <t xml:space="preserve">PD BRUSSEL SPROUTS 25LBS</t>
  </si>
  <si>
    <t xml:space="preserve">PD BRUSSEL SPRT HALV 5#</t>
  </si>
  <si>
    <t xml:space="preserve">PD CABBAGE BAG</t>
  </si>
  <si>
    <t xml:space="preserve">PD CABBAGE BOX 6-14CT</t>
  </si>
  <si>
    <t xml:space="preserve">PD CABBAGE RED BOX</t>
  </si>
  <si>
    <t xml:space="preserve">PD CARROT 5LB BAG</t>
  </si>
  <si>
    <t xml:space="preserve">PD CARROT STICKS 5LB</t>
  </si>
  <si>
    <t xml:space="preserve">2X U @ $13.61</t>
  </si>
  <si>
    <t xml:space="preserve">PD CELERY CS</t>
  </si>
  <si>
    <t xml:space="preserve">PD CHERRY 6/3#</t>
  </si>
  <si>
    <t xml:space="preserve">PD CILANTRO BAG</t>
  </si>
  <si>
    <t xml:space="preserve">PD CUCUMBRS SELECT 50LB</t>
  </si>
  <si>
    <t xml:space="preserve">PD GINGER 30LB/CS</t>
  </si>
  <si>
    <t xml:space="preserve">PD ICELES SCALLION 4/4#</t>
  </si>
  <si>
    <t xml:space="preserve">price not legible</t>
  </si>
  <si>
    <t xml:space="preserve">PD JALAPENO 5# BAG</t>
  </si>
  <si>
    <t xml:space="preserve">PD LEMON JUICE 1QT</t>
  </si>
  <si>
    <t xml:space="preserve">PD LIME JUICE 1QT</t>
  </si>
  <si>
    <t xml:space="preserve">VU void</t>
  </si>
  <si>
    <t xml:space="preserve">PD MINT 4OZ</t>
  </si>
  <si>
    <t xml:space="preserve">PD ONION RED 20/2</t>
  </si>
  <si>
    <t xml:space="preserve">Moose I9588 0721</t>
  </si>
  <si>
    <t xml:space="preserve">PD ONION VD/SWT 10LBS</t>
  </si>
  <si>
    <t xml:space="preserve">C · 1cs/60u</t>
  </si>
  <si>
    <t xml:space="preserve">VC void</t>
  </si>
  <si>
    <t xml:space="preserve">PD ORANGE BELL BAG 5LB</t>
  </si>
  <si>
    <t xml:space="preserve">PD ORANGE BINS</t>
  </si>
  <si>
    <t xml:space="preserve">PD PARSLEY ITL 6CT</t>
  </si>
  <si>
    <t xml:space="preserve">PD PEPP RED FCY15 LB</t>
  </si>
  <si>
    <t xml:space="preserve">PD PEPPER GREEN XL JBO</t>
  </si>
  <si>
    <t xml:space="preserve">PD PEPPER JALAPENO</t>
  </si>
  <si>
    <t xml:space="preserve">PD PEPPER POBLANO CASE</t>
  </si>
  <si>
    <t xml:space="preserve">PD PLD GARLIC 6/5 BAG</t>
  </si>
  <si>
    <t xml:space="preserve">PD PLD GARLIC 675 BAG</t>
  </si>
  <si>
    <t xml:space="preserve">PD ROMAINE 24CT CS</t>
  </si>
  <si>
    <t xml:space="preserve">PD ROSEMARY 1LB</t>
  </si>
  <si>
    <t xml:space="preserve">PD SAGE</t>
  </si>
  <si>
    <t xml:space="preserve">PD SHRED CARROTS 5LB</t>
  </si>
  <si>
    <t xml:space="preserve">PD SPINACH 4/2.5</t>
  </si>
  <si>
    <t xml:space="preserve">PD STRAWBERRIES 1LB</t>
  </si>
  <si>
    <t xml:space="preserve">PD TOMATO 5X6 25LB</t>
  </si>
  <si>
    <t xml:space="preserve">PD TOMATO GRAPE PINT</t>
  </si>
  <si>
    <t xml:space="preserve">C</t>
  </si>
  <si>
    <t xml:space="preserve">C · 1cs/12u</t>
  </si>
  <si>
    <t xml:space="preserve">PD TOMATO ROMA XL 25LB</t>
  </si>
  <si>
    <t xml:space="preserve">PD TURKISH FIG 20OZ</t>
  </si>
  <si>
    <t xml:space="preserve">PD YELLOW BELL BAG 5LB</t>
  </si>
  <si>
    <t xml:space="preserve">Fruits &amp; Vegetables — subtotal</t>
  </si>
  <si>
    <t xml:space="preserve">Dairy &amp; Eggs   (6 items)</t>
  </si>
  <si>
    <t xml:space="preserve">BTR CABOT SALT SLD 1LB</t>
  </si>
  <si>
    <t xml:space="preserve">C · 1cs/36u</t>
  </si>
  <si>
    <t xml:space="preserve">CREAM JI HALF&amp;HALF 32OZ</t>
  </si>
  <si>
    <t xml:space="preserve">EGGS XL LOOSE BWN 15DZ</t>
  </si>
  <si>
    <t xml:space="preserve">case $16.89 / 15</t>
  </si>
  <si>
    <t xml:space="preserve">OAT MILK ORIGINAL 32Z</t>
  </si>
  <si>
    <t xml:space="preserve">WHIP CRM JF NONDRY 14Z</t>
  </si>
  <si>
    <t xml:space="preserve">WHTP CRM JF NONDRY 147</t>
  </si>
  <si>
    <t xml:space="preserve">Dairy &amp; Eggs — subtotal</t>
  </si>
  <si>
    <t xml:space="preserve">Frozen   (9 items)</t>
  </si>
  <si>
    <t xml:space="preserve">FZ CHOC TRILOGY 6/5.75</t>
  </si>
  <si>
    <t xml:space="preserve">U · case $76.19/6</t>
  </si>
  <si>
    <t xml:space="preserve">FZ CKE CARROT HIGH 14SL</t>
  </si>
  <si>
    <t xml:space="preserve">FZ CKE LIMONCELLO 14SL</t>
  </si>
  <si>
    <t xml:space="preserve">FZ EDAMAME IN POD 20/1LB</t>
  </si>
  <si>
    <t xml:space="preserve">FZ MUKIMAME JF 2LB</t>
  </si>
  <si>
    <t xml:space="preserve">FZ PIE KEY LIME 12SLIC</t>
  </si>
  <si>
    <t xml:space="preserve">Frozen — subtotal</t>
  </si>
  <si>
    <t xml:space="preserve">Bakery, Snacks &amp; Candy   (20 items)</t>
  </si>
  <si>
    <t xml:space="preserve">ANDES CREME DE MEN 1CT</t>
  </si>
  <si>
    <t xml:space="preserve">U(TA) case $108.03/240</t>
  </si>
  <si>
    <t xml:space="preserve">Receipt S11</t>
  </si>
  <si>
    <t xml:space="preserve">CAM PRO MINI 8PK</t>
  </si>
  <si>
    <t xml:space="preserve">(TA)</t>
  </si>
  <si>
    <t xml:space="preserve">CROUTON-DELI STYL 4/2.5#</t>
  </si>
  <si>
    <t xml:space="preserve">case $32.39/4</t>
  </si>
  <si>
    <t xml:space="preserve">Supplies 792.24</t>
  </si>
  <si>
    <t xml:space="preserve">CRUTS PLAIN BUTTER 12/32</t>
  </si>
  <si>
    <t xml:space="preserve">case $13.77/12</t>
  </si>
  <si>
    <t xml:space="preserve">Supplies 784.19</t>
  </si>
  <si>
    <t xml:space="preserve">HERSH KISSES LG BG 35.8Z</t>
  </si>
  <si>
    <t xml:space="preserve">U(TA)</t>
  </si>
  <si>
    <t xml:space="preserve">Moose I26544 0804</t>
  </si>
  <si>
    <t xml:space="preserve">NAB OREO 6CT CKIE (coupon)</t>
  </si>
  <si>
    <t xml:space="preserve">discount</t>
  </si>
  <si>
    <t xml:space="preserve">NAB OREO 6CT CKIE 72Z</t>
  </si>
  <si>
    <t xml:space="preserve">UTZ JMB VARIETY BX 40.75Z</t>
  </si>
  <si>
    <t xml:space="preserve">case $18.29/42</t>
  </si>
  <si>
    <t xml:space="preserve">WRAP GARLIC HERB 12CT</t>
  </si>
  <si>
    <t xml:space="preserve">WRAP SPINACH 12CT</t>
  </si>
  <si>
    <t xml:space="preserve">WRAP TOMATO 12CT</t>
  </si>
  <si>
    <t xml:space="preserve">YORK PEPRP CHNGMKR .48Z</t>
  </si>
  <si>
    <t xml:space="preserve">U(TA) case $210.56/175</t>
  </si>
  <si>
    <t xml:space="preserve">Bakery, Snacks &amp; Candy — subtotal</t>
  </si>
  <si>
    <t xml:space="preserve">Pantry, Sauces &amp; Seasonings   (47 items)</t>
  </si>
  <si>
    <t xml:space="preserve">BALSAMIC GLZ FIG 12.9Z</t>
  </si>
  <si>
    <t xml:space="preserve">BEAN BAKED B&amp;M X #10</t>
  </si>
  <si>
    <t xml:space="preserve">BEAN KIDN D/RED CQ #10</t>
  </si>
  <si>
    <t xml:space="preserve">COCONUT POWDR-UNSW 4#</t>
  </si>
  <si>
    <t xml:space="preserve">DRES KENS BUTRMLK 1GAL</t>
  </si>
  <si>
    <t xml:space="preserve">DRES KENS CHIP MAY 1GAL</t>
  </si>
  <si>
    <t xml:space="preserve">Mad Moose I11777 0804</t>
  </si>
  <si>
    <t xml:space="preserve">FRT CHRY W/STEM CQ 64Z</t>
  </si>
  <si>
    <t xml:space="preserve">HONEY LT AMBER CU 5LB</t>
  </si>
  <si>
    <t xml:space="preserve">HUNT TOM KETCHUP #10</t>
  </si>
  <si>
    <t xml:space="preserve">KETCHUP CHEFS QLTY #10</t>
  </si>
  <si>
    <t xml:space="preserve">MAYO KENS PREMIUM 1GAL</t>
  </si>
  <si>
    <t xml:space="preserve">2X VU void (appr #280195 Sam)</t>
  </si>
  <si>
    <t xml:space="preserve">MIX CHOC BRWNIE GM 6/5LB</t>
  </si>
  <si>
    <t xml:space="preserve">NUT PECAN HALVE CQ 3LB</t>
  </si>
  <si>
    <t xml:space="preserve">NUT PECN LRG PC CU 5LB</t>
  </si>
  <si>
    <t xml:space="preserve">NUT PUMPKIN SD CQ 4.5LB</t>
  </si>
  <si>
    <t xml:space="preserve">OIL GREEK XTRA VGN 3LTR</t>
  </si>
  <si>
    <t xml:space="preserve">OLV CASTELVERTANO 9LB</t>
  </si>
  <si>
    <t xml:space="preserve">PEPPERONCINI SPRMO 1GAL</t>
  </si>
  <si>
    <t xml:space="preserve">PS SPAG #5 BAR 2/10LB</t>
  </si>
  <si>
    <t xml:space="preserve">case $25.62/2</t>
  </si>
  <si>
    <t xml:space="preserve">SAUC KNTUKY BOURBN GAL</t>
  </si>
  <si>
    <t xml:space="preserve">SAUC MED WING FRNK GAL</t>
  </si>
  <si>
    <t xml:space="preserve">SAUC MLD WING FRNK GAL</t>
  </si>
  <si>
    <t xml:space="preserve">SP GARLIC GRANULAT 7LB</t>
  </si>
  <si>
    <t xml:space="preserve">SP GINGER GR CQ 1LB</t>
  </si>
  <si>
    <t xml:space="preserve">SP LEM&amp;PEPP SEASON 28Z</t>
  </si>
  <si>
    <t xml:space="preserve">SP TACO SEASONING 5#</t>
  </si>
  <si>
    <t xml:space="preserve">SP WHT GR PEP CQ 5LB</t>
  </si>
  <si>
    <t xml:space="preserve">SUNFLOWR RW CU 4.50LB</t>
  </si>
  <si>
    <t xml:space="preserve">TULK PESTO FRESH 32Z</t>
  </si>
  <si>
    <t xml:space="preserve">VEG PEAS 4 SV LQ #10</t>
  </si>
  <si>
    <t xml:space="preserve">VINEGAR BALSMIC CQ 5LTR</t>
  </si>
  <si>
    <t xml:space="preserve">U · case $23.21/2</t>
  </si>
  <si>
    <t xml:space="preserve">YEAST RED STAR DRY 2LB</t>
  </si>
  <si>
    <t xml:space="preserve">Pantry, Sauces &amp; Seasonings — subtotal</t>
  </si>
  <si>
    <t xml:space="preserve">Beverages   (17 items)</t>
  </si>
  <si>
    <t xml:space="preserve">7-UP 12Z</t>
  </si>
  <si>
    <t xml:space="preserve">(TA) case $12.90/24</t>
  </si>
  <si>
    <t xml:space="preserve">A&amp;E APPLE JUICE 16Z</t>
  </si>
  <si>
    <t xml:space="preserve">case $15.00 / 12</t>
  </si>
  <si>
    <t xml:space="preserve">A&amp;W ROOT BEER CLUB 12Z</t>
  </si>
  <si>
    <t xml:space="preserve">(TA) case $13.83/24</t>
  </si>
  <si>
    <t xml:space="preserve">BOTTLE DEPOSIT 24CT</t>
  </si>
  <si>
    <t xml:space="preserve">S · $1.20/24</t>
  </si>
  <si>
    <t xml:space="preserve">CALYPSO ISLAND WAV 16Z</t>
  </si>
  <si>
    <t xml:space="preserve">(TA) case $17.88/12</t>
  </si>
  <si>
    <t xml:space="preserve">MARGARITA FORTU GAL</t>
  </si>
  <si>
    <t xml:space="preserve">C(TA) · 1cs/4u</t>
  </si>
  <si>
    <t xml:space="preserve">REDBULL SUD LIME 8.4Z</t>
  </si>
  <si>
    <t xml:space="preserve">(TA) case $40.09/24</t>
  </si>
  <si>
    <t xml:space="preserve">REDBULL VAN BERRY 8.4Z</t>
  </si>
  <si>
    <t xml:space="preserve">(TA) case $40.61/24</t>
  </si>
  <si>
    <t xml:space="preserve">REDBULL WHT PEACH 8.4Z</t>
  </si>
  <si>
    <t xml:space="preserve">(TA) case $41.15/24</t>
  </si>
  <si>
    <t xml:space="preserve">VW ENERGY 20Z</t>
  </si>
  <si>
    <t xml:space="preserve">(TA) case $16.70/12</t>
  </si>
  <si>
    <t xml:space="preserve">Beverages — subtotal</t>
  </si>
  <si>
    <t xml:space="preserve">Supplies &amp; Disposables   (60 items)</t>
  </si>
  <si>
    <t xml:space="preserve">#25 CONT REC BASE</t>
  </si>
  <si>
    <t xml:space="preserve">C(TA) · 1cs/220u</t>
  </si>
  <si>
    <t xml:space="preserve">Mad Moose I23708 0721</t>
  </si>
  <si>
    <t xml:space="preserve">VC void · -1cs/-220u</t>
  </si>
  <si>
    <t xml:space="preserve">10 1/4 DNR PLTE 8PK</t>
  </si>
  <si>
    <t xml:space="preserve">(TA) case $33.92/8</t>
  </si>
  <si>
    <t xml:space="preserve">32Z RMLESS BWL NSF 8PK</t>
  </si>
  <si>
    <t xml:space="preserve">(TA) case $26.76/8</t>
  </si>
  <si>
    <t xml:space="preserve">4 EVENT DIGI TIMER 5839N</t>
  </si>
  <si>
    <t xml:space="preserve">CONT #2 10 60 KRAFT</t>
  </si>
  <si>
    <t xml:space="preserve">(TA) case $33.96/200</t>
  </si>
  <si>
    <t xml:space="preserve">CONT #2 TO GO KRAFT</t>
  </si>
  <si>
    <t xml:space="preserve">(TA) case $33.99/200</t>
  </si>
  <si>
    <t xml:space="preserve">DAWN 5GL DISH DTGT</t>
  </si>
  <si>
    <t xml:space="preserve">DISINFEC DIAMOND 4/1GAL</t>
  </si>
  <si>
    <t xml:space="preserve">DR SWISS PEELER 1EA</t>
  </si>
  <si>
    <t xml:space="preserve">FBR HNG PF 9X9</t>
  </si>
  <si>
    <t xml:space="preserve">(TA) case $31.99/150</t>
  </si>
  <si>
    <t xml:space="preserve">FILM 12X2000 SUNSET</t>
  </si>
  <si>
    <t xml:space="preserve">FILM 18X2000 SUNSET</t>
  </si>
  <si>
    <t xml:space="preserve">GLOVE NITRL MED BLK</t>
  </si>
  <si>
    <t xml:space="preserve">C(TA) · 1cs/10u</t>
  </si>
  <si>
    <t xml:space="preserve">GLOVE NITRL XLG PF BLACK</t>
  </si>
  <si>
    <t xml:space="preserve">LEX PAN 1/9X4</t>
  </si>
  <si>
    <t xml:space="preserve">C(TA) · 1cs/6u</t>
  </si>
  <si>
    <t xml:space="preserve">LID FR #10&amp;25 REC CONTR</t>
  </si>
  <si>
    <t xml:space="preserve">LINER 33G 25X10X59</t>
  </si>
  <si>
    <t xml:space="preserve">(TA) case $32.58/100</t>
  </si>
  <si>
    <t xml:space="preserve">LINER 40G 40x46 CLR</t>
  </si>
  <si>
    <t xml:space="preserve">(TA) case $67.44/100</t>
  </si>
  <si>
    <t xml:space="preserve">MCHDSH DETER LUTMP 5GAL</t>
  </si>
  <si>
    <t xml:space="preserve">MCHDSH SANI 1UTEMP 5GAL</t>
  </si>
  <si>
    <t xml:space="preserve">NAPKINS 3PLY CHALET</t>
  </si>
  <si>
    <t xml:space="preserve">(TA) case $62.73/164</t>
  </si>
  <si>
    <t xml:space="preserve">PIZZABOX 10 BR B CORR</t>
  </si>
  <si>
    <t xml:space="preserve">(TA) case $13.43/50</t>
  </si>
  <si>
    <t xml:space="preserve">PIZZABOX 14 BR B CORR</t>
  </si>
  <si>
    <t xml:space="preserve">(TA) case $19.29/50</t>
  </si>
  <si>
    <t xml:space="preserve">PL FORK XHVY BLK SB</t>
  </si>
  <si>
    <t xml:space="preserve">C(TA) case $33.63/200</t>
  </si>
  <si>
    <t xml:space="preserve">REG ROLL 3"X200 1P THERM</t>
  </si>
  <si>
    <t xml:space="preserve">UC(TA) case $53.42/10</t>
  </si>
  <si>
    <t xml:space="preserve">SPOON S/S SOLID 13IN</t>
  </si>
  <si>
    <t xml:space="preserve">SUGAR CADDY BLACK</t>
  </si>
  <si>
    <t xml:space="preserve">TIMER FLASHING/VIB 5879</t>
  </si>
  <si>
    <t xml:space="preserve">TONG SPRING 9IN HD</t>
  </si>
  <si>
    <t xml:space="preserve">TUMBLERS 16Z CLEAR 1DZ</t>
  </si>
  <si>
    <t xml:space="preserve">TWL HARDWND BRN 12</t>
  </si>
  <si>
    <t xml:space="preserve">(TA) case $24.24/12</t>
  </si>
  <si>
    <t xml:space="preserve">TWL HARDWND WHI 12/350</t>
  </si>
  <si>
    <t xml:space="preserve">(TA) case $28.96/12</t>
  </si>
  <si>
    <t xml:space="preserve">UTILITY TONG 7IN</t>
  </si>
  <si>
    <t xml:space="preserve">Supplies &amp; Disposables — subtotal</t>
  </si>
  <si>
    <t xml:space="preserve">Discounts &amp; Adjustments   (14 items)</t>
  </si>
  <si>
    <t xml:space="preserve">DISCOUNT</t>
  </si>
  <si>
    <t xml:space="preserve">45.00% (appr #270772 Pam Smith)</t>
  </si>
  <si>
    <t xml:space="preserve">25.00% (appr #270772 Pam Smith)</t>
  </si>
  <si>
    <t xml:space="preserve">50.00% (appr #273903 Susan)</t>
  </si>
  <si>
    <t xml:space="preserve">VOLUME ADJUSTMENT</t>
  </si>
  <si>
    <t xml:space="preserve">applied to preceding item</t>
  </si>
  <si>
    <t xml:space="preserve">Discounts &amp; Adjustments — subtotal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</si>
</sst>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0504D"/>
        <bgColor rgb="FF9B6A9B"/>
      </patternFill>
    </fill>
    <fill>
      <patternFill patternType="solid">
        <fgColor rgb="FFE8A33D"/>
        <bgColor rgb="FFC9A66B"/>
      </patternFill>
    </fill>
    <fill>
      <patternFill patternType="solid">
        <fgColor rgb="FF4E8542"/>
        <bgColor rgb="FF31859C"/>
      </patternFill>
    </fill>
    <fill>
      <patternFill patternType="solid">
        <fgColor rgb="FFC9A66B"/>
        <bgColor rgb="FFE8A33D"/>
      </patternFill>
    </fill>
    <fill>
      <patternFill patternType="solid">
        <fgColor rgb="FF4F81BD"/>
        <bgColor rgb="FF31859C"/>
      </patternFill>
    </fill>
    <fill>
      <patternFill patternType="solid">
        <fgColor rgb="FF9B6A9B"/>
        <bgColor rgb="FF808080"/>
      </patternFill>
    </fill>
    <fill>
      <patternFill patternType="solid">
        <fgColor rgb="FF7F6000"/>
        <bgColor rgb="FF595959"/>
      </patternFill>
    </fill>
    <fill>
      <patternFill patternType="solid">
        <fgColor rgb="FF31859C"/>
        <bgColor rgb="FF4F81BD"/>
      </patternFill>
    </fill>
    <fill>
      <patternFill patternType="solid">
        <fgColor rgb="FF808080"/>
        <bgColor rgb="FF9B6A9B"/>
      </patternFill>
    </fill>
    <fill>
      <patternFill patternType="solid">
        <fgColor rgb="FF595959"/>
        <bgColor rgb="FF404040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4E8542"/>
      <rgbColor rgb="FFC0C0C0"/>
      <rgbColor rgb="FF808080"/>
      <rgbColor rgb="FF9999FF"/>
      <rgbColor rgb="FFC0504D"/>
      <rgbColor rgb="FFEDEDED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8A33D"/>
      <rgbColor rgb="FFFF6600"/>
      <rgbColor rgb="FF595959"/>
      <rgbColor rgb="FFC9A66B"/>
      <rgbColor rgb="FF1F3864"/>
      <rgbColor rgb="FF31859C"/>
      <rgbColor rgb="FF003300"/>
      <rgbColor rgb="FF333300"/>
      <rgbColor rgb="FF993300"/>
      <rgbColor rgb="FF9B6A9B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8.55" hidden="false" customHeight="false" outlineLevel="0" collapsed="false">
      <c r="A1" s="1" t="s">
        <v>0</v>
      </c>
      <c r="B1" s="1"/>
      <c r="C1" s="1"/>
    </row>
    <row r="2" customFormat="false" ht="42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39</v>
      </c>
      <c r="C5" s="7" t="n">
        <f aca="false">'By Category'!D45</f>
        <v>5387.25</v>
      </c>
    </row>
    <row r="6" customFormat="false" ht="15" hidden="false" customHeight="false" outlineLevel="0" collapsed="false">
      <c r="A6" s="8" t="s">
        <v>6</v>
      </c>
      <c r="B6" s="6" t="n">
        <v>15</v>
      </c>
      <c r="C6" s="7" t="n">
        <f aca="false">'By Category'!D64</f>
        <v>598.85</v>
      </c>
    </row>
    <row r="7" customFormat="false" ht="15" hidden="false" customHeight="false" outlineLevel="0" collapsed="false">
      <c r="A7" s="9" t="s">
        <v>7</v>
      </c>
      <c r="B7" s="6" t="n">
        <v>106</v>
      </c>
      <c r="C7" s="7" t="n">
        <f aca="false">'By Category'!D174</f>
        <v>2004.19</v>
      </c>
    </row>
    <row r="8" customFormat="false" ht="15" hidden="false" customHeight="false" outlineLevel="0" collapsed="false">
      <c r="A8" s="10" t="s">
        <v>8</v>
      </c>
      <c r="B8" s="6" t="n">
        <v>6</v>
      </c>
      <c r="C8" s="7" t="n">
        <f aca="false">'By Category'!D184</f>
        <v>161.95</v>
      </c>
    </row>
    <row r="9" customFormat="false" ht="15" hidden="false" customHeight="false" outlineLevel="0" collapsed="false">
      <c r="A9" s="11" t="s">
        <v>9</v>
      </c>
      <c r="B9" s="6" t="n">
        <v>9</v>
      </c>
      <c r="C9" s="7" t="n">
        <f aca="false">'By Category'!D197</f>
        <v>148.8</v>
      </c>
    </row>
    <row r="10" customFormat="false" ht="15" hidden="false" customHeight="false" outlineLevel="0" collapsed="false">
      <c r="A10" s="12" t="s">
        <v>10</v>
      </c>
      <c r="B10" s="6" t="n">
        <v>20</v>
      </c>
      <c r="C10" s="7" t="n">
        <f aca="false">'By Category'!D221</f>
        <v>392.33</v>
      </c>
    </row>
    <row r="11" customFormat="false" ht="15" hidden="false" customHeight="false" outlineLevel="0" collapsed="false">
      <c r="A11" s="13" t="s">
        <v>11</v>
      </c>
      <c r="B11" s="6" t="n">
        <v>47</v>
      </c>
      <c r="C11" s="7" t="n">
        <f aca="false">'By Category'!D272</f>
        <v>1644.98</v>
      </c>
    </row>
    <row r="12" customFormat="false" ht="15" hidden="false" customHeight="false" outlineLevel="0" collapsed="false">
      <c r="A12" s="14" t="s">
        <v>12</v>
      </c>
      <c r="B12" s="6" t="n">
        <v>17</v>
      </c>
      <c r="C12" s="7" t="n">
        <f aca="false">'By Category'!D293</f>
        <v>280.99</v>
      </c>
    </row>
    <row r="13" customFormat="false" ht="15" hidden="false" customHeight="false" outlineLevel="0" collapsed="false">
      <c r="A13" s="15" t="s">
        <v>13</v>
      </c>
      <c r="B13" s="6" t="n">
        <v>60</v>
      </c>
      <c r="C13" s="7" t="n">
        <f aca="false">'By Category'!D357</f>
        <v>1217.31</v>
      </c>
    </row>
    <row r="14" customFormat="false" ht="15" hidden="false" customHeight="false" outlineLevel="0" collapsed="false">
      <c r="A14" s="16" t="s">
        <v>14</v>
      </c>
      <c r="B14" s="6" t="n">
        <v>14</v>
      </c>
      <c r="C14" s="7" t="n">
        <f aca="false">'By Category'!D375</f>
        <v>-1261.3</v>
      </c>
    </row>
    <row r="15" customFormat="false" ht="15" hidden="false" customHeight="false" outlineLevel="0" collapsed="false">
      <c r="A15" s="17" t="s">
        <v>15</v>
      </c>
      <c r="B15" s="18" t="n">
        <f aca="false">SUM(B5:B14)</f>
        <v>333</v>
      </c>
      <c r="C15" s="19" t="n">
        <f aca="false">SUM(C5:C14)</f>
        <v>10575.35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24"/>
  </cols>
  <sheetData>
    <row r="1" customFormat="false" ht="18.55" hidden="false" customHeight="false" outlineLevel="0" collapsed="false">
      <c r="A1" s="1" t="s">
        <v>16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0" t="s">
        <v>18</v>
      </c>
      <c r="B4" s="20"/>
      <c r="C4" s="20"/>
      <c r="D4" s="20"/>
      <c r="E4" s="20"/>
    </row>
    <row r="5" customFormat="false" ht="15" hidden="false" customHeight="false" outlineLevel="0" collapsed="false">
      <c r="A5" s="21" t="s">
        <v>19</v>
      </c>
      <c r="B5" s="21" t="s">
        <v>20</v>
      </c>
      <c r="C5" s="22" t="s">
        <v>21</v>
      </c>
      <c r="D5" s="22" t="s">
        <v>22</v>
      </c>
      <c r="E5" s="21" t="s">
        <v>23</v>
      </c>
    </row>
    <row r="6" customFormat="false" ht="15" hidden="false" customHeight="false" outlineLevel="0" collapsed="false">
      <c r="A6" s="23" t="s">
        <v>24</v>
      </c>
      <c r="B6" s="24"/>
      <c r="C6" s="25" t="n">
        <v>1</v>
      </c>
      <c r="D6" s="26" t="n">
        <v>54.85</v>
      </c>
      <c r="E6" s="27" t="s">
        <v>25</v>
      </c>
    </row>
    <row r="7" customFormat="false" ht="15" hidden="false" customHeight="false" outlineLevel="0" collapsed="false">
      <c r="A7" s="23" t="s">
        <v>24</v>
      </c>
      <c r="B7" s="24"/>
      <c r="C7" s="25" t="n">
        <v>1</v>
      </c>
      <c r="D7" s="26" t="n">
        <v>54.85</v>
      </c>
      <c r="E7" s="27" t="s">
        <v>25</v>
      </c>
    </row>
    <row r="8" customFormat="false" ht="15" hidden="false" customHeight="false" outlineLevel="0" collapsed="false">
      <c r="A8" s="23" t="s">
        <v>24</v>
      </c>
      <c r="B8" s="24"/>
      <c r="C8" s="25" t="n">
        <v>1</v>
      </c>
      <c r="D8" s="26" t="n">
        <v>54.85</v>
      </c>
      <c r="E8" s="27" t="s">
        <v>25</v>
      </c>
    </row>
    <row r="9" customFormat="false" ht="15" hidden="false" customHeight="false" outlineLevel="0" collapsed="false">
      <c r="A9" s="23" t="s">
        <v>24</v>
      </c>
      <c r="B9" s="24"/>
      <c r="C9" s="25" t="n">
        <v>1</v>
      </c>
      <c r="D9" s="26" t="n">
        <v>54.85</v>
      </c>
      <c r="E9" s="27" t="s">
        <v>25</v>
      </c>
    </row>
    <row r="10" customFormat="false" ht="15" hidden="false" customHeight="false" outlineLevel="0" collapsed="false">
      <c r="A10" s="23" t="s">
        <v>26</v>
      </c>
      <c r="B10" s="24" t="s">
        <v>27</v>
      </c>
      <c r="C10" s="25" t="n">
        <v>1</v>
      </c>
      <c r="D10" s="26" t="n">
        <v>323.74</v>
      </c>
      <c r="E10" s="27" t="s">
        <v>28</v>
      </c>
    </row>
    <row r="11" customFormat="false" ht="15" hidden="false" customHeight="false" outlineLevel="0" collapsed="false">
      <c r="A11" s="23" t="s">
        <v>26</v>
      </c>
      <c r="B11" s="24" t="s">
        <v>29</v>
      </c>
      <c r="C11" s="25" t="n">
        <v>1</v>
      </c>
      <c r="D11" s="26" t="n">
        <v>300.24</v>
      </c>
      <c r="E11" s="27" t="s">
        <v>28</v>
      </c>
    </row>
    <row r="12" customFormat="false" ht="15" hidden="false" customHeight="false" outlineLevel="0" collapsed="false">
      <c r="A12" s="23" t="s">
        <v>26</v>
      </c>
      <c r="B12" s="24" t="s">
        <v>30</v>
      </c>
      <c r="C12" s="25" t="n">
        <v>1</v>
      </c>
      <c r="D12" s="26" t="n">
        <v>312.07</v>
      </c>
      <c r="E12" s="27" t="s">
        <v>28</v>
      </c>
    </row>
    <row r="13" customFormat="false" ht="15" hidden="false" customHeight="false" outlineLevel="0" collapsed="false">
      <c r="A13" s="23" t="s">
        <v>26</v>
      </c>
      <c r="B13" s="24" t="s">
        <v>31</v>
      </c>
      <c r="C13" s="25" t="n">
        <v>1</v>
      </c>
      <c r="D13" s="26" t="n">
        <v>313.55</v>
      </c>
      <c r="E13" s="27" t="s">
        <v>28</v>
      </c>
    </row>
    <row r="14" customFormat="false" ht="15" hidden="false" customHeight="false" outlineLevel="0" collapsed="false">
      <c r="A14" s="23" t="s">
        <v>26</v>
      </c>
      <c r="B14" s="24" t="s">
        <v>32</v>
      </c>
      <c r="C14" s="25" t="n">
        <v>1</v>
      </c>
      <c r="D14" s="26" t="n">
        <v>301.33</v>
      </c>
      <c r="E14" s="27" t="s">
        <v>33</v>
      </c>
    </row>
    <row r="15" customFormat="false" ht="15" hidden="false" customHeight="false" outlineLevel="0" collapsed="false">
      <c r="A15" s="23" t="s">
        <v>26</v>
      </c>
      <c r="B15" s="24" t="s">
        <v>34</v>
      </c>
      <c r="C15" s="25" t="n">
        <v>1</v>
      </c>
      <c r="D15" s="26" t="n">
        <v>296.33</v>
      </c>
      <c r="E15" s="27" t="s">
        <v>33</v>
      </c>
    </row>
    <row r="16" customFormat="false" ht="15" hidden="false" customHeight="false" outlineLevel="0" collapsed="false">
      <c r="A16" s="23" t="s">
        <v>26</v>
      </c>
      <c r="B16" s="24" t="s">
        <v>35</v>
      </c>
      <c r="C16" s="25" t="n">
        <v>1</v>
      </c>
      <c r="D16" s="26" t="n">
        <v>294.38</v>
      </c>
      <c r="E16" s="27" t="s">
        <v>33</v>
      </c>
    </row>
    <row r="17" customFormat="false" ht="15" hidden="false" customHeight="false" outlineLevel="0" collapsed="false">
      <c r="A17" s="23" t="s">
        <v>26</v>
      </c>
      <c r="B17" s="24" t="s">
        <v>34</v>
      </c>
      <c r="C17" s="25" t="n">
        <v>1</v>
      </c>
      <c r="D17" s="26" t="n">
        <v>296.33</v>
      </c>
      <c r="E17" s="27" t="s">
        <v>33</v>
      </c>
    </row>
    <row r="18" customFormat="false" ht="15" hidden="false" customHeight="false" outlineLevel="0" collapsed="false">
      <c r="A18" s="23" t="s">
        <v>26</v>
      </c>
      <c r="B18" s="24" t="s">
        <v>36</v>
      </c>
      <c r="C18" s="25" t="n">
        <v>1</v>
      </c>
      <c r="D18" s="26" t="n">
        <v>288.51</v>
      </c>
      <c r="E18" s="27" t="s">
        <v>33</v>
      </c>
    </row>
    <row r="19" customFormat="false" ht="15" hidden="false" customHeight="false" outlineLevel="0" collapsed="false">
      <c r="A19" s="23" t="s">
        <v>26</v>
      </c>
      <c r="B19" s="24" t="s">
        <v>37</v>
      </c>
      <c r="C19" s="25" t="n">
        <v>1</v>
      </c>
      <c r="D19" s="26" t="n">
        <v>293.4</v>
      </c>
      <c r="E19" s="27" t="s">
        <v>33</v>
      </c>
    </row>
    <row r="20" customFormat="false" ht="15" hidden="false" customHeight="false" outlineLevel="0" collapsed="false">
      <c r="A20" s="23" t="s">
        <v>26</v>
      </c>
      <c r="B20" s="24" t="s">
        <v>38</v>
      </c>
      <c r="C20" s="25" t="n">
        <v>1</v>
      </c>
      <c r="D20" s="26" t="n">
        <v>289</v>
      </c>
      <c r="E20" s="27" t="s">
        <v>33</v>
      </c>
    </row>
    <row r="21" customFormat="false" ht="15" hidden="false" customHeight="false" outlineLevel="0" collapsed="false">
      <c r="A21" s="23" t="s">
        <v>39</v>
      </c>
      <c r="B21" s="24" t="s">
        <v>40</v>
      </c>
      <c r="C21" s="25" t="n">
        <v>1</v>
      </c>
      <c r="D21" s="26" t="n">
        <v>69.6</v>
      </c>
      <c r="E21" s="27" t="s">
        <v>28</v>
      </c>
    </row>
    <row r="22" customFormat="false" ht="15" hidden="false" customHeight="false" outlineLevel="0" collapsed="false">
      <c r="A22" s="23" t="s">
        <v>41</v>
      </c>
      <c r="B22" s="24" t="s">
        <v>42</v>
      </c>
      <c r="C22" s="25" t="n">
        <v>1</v>
      </c>
      <c r="D22" s="26" t="n">
        <v>71.2</v>
      </c>
      <c r="E22" s="27" t="s">
        <v>33</v>
      </c>
    </row>
    <row r="23" customFormat="false" ht="15" hidden="false" customHeight="false" outlineLevel="0" collapsed="false">
      <c r="A23" s="23" t="s">
        <v>41</v>
      </c>
      <c r="B23" s="24" t="s">
        <v>42</v>
      </c>
      <c r="C23" s="25" t="n">
        <v>1</v>
      </c>
      <c r="D23" s="26" t="n">
        <v>71.2</v>
      </c>
      <c r="E23" s="27" t="s">
        <v>33</v>
      </c>
    </row>
    <row r="24" customFormat="false" ht="22.35" hidden="false" customHeight="false" outlineLevel="0" collapsed="false">
      <c r="A24" s="23" t="s">
        <v>43</v>
      </c>
      <c r="B24" s="24" t="s">
        <v>44</v>
      </c>
      <c r="C24" s="25" t="n">
        <v>1</v>
      </c>
      <c r="D24" s="26" t="n">
        <v>116.8</v>
      </c>
      <c r="E24" s="27" t="s">
        <v>28</v>
      </c>
    </row>
    <row r="25" customFormat="false" ht="22.35" hidden="false" customHeight="false" outlineLevel="0" collapsed="false">
      <c r="A25" s="23" t="s">
        <v>43</v>
      </c>
      <c r="B25" s="24" t="s">
        <v>45</v>
      </c>
      <c r="C25" s="25" t="n">
        <v>1</v>
      </c>
      <c r="D25" s="26" t="n">
        <v>58.4</v>
      </c>
      <c r="E25" s="27" t="s">
        <v>28</v>
      </c>
    </row>
    <row r="26" customFormat="false" ht="15" hidden="false" customHeight="false" outlineLevel="0" collapsed="false">
      <c r="A26" s="23" t="s">
        <v>46</v>
      </c>
      <c r="B26" s="24" t="s">
        <v>47</v>
      </c>
      <c r="C26" s="25" t="n">
        <v>1</v>
      </c>
      <c r="D26" s="26" t="n">
        <v>71.6</v>
      </c>
      <c r="E26" s="27" t="s">
        <v>28</v>
      </c>
    </row>
    <row r="27" customFormat="false" ht="15" hidden="false" customHeight="false" outlineLevel="0" collapsed="false">
      <c r="A27" s="23" t="s">
        <v>46</v>
      </c>
      <c r="B27" s="24" t="s">
        <v>47</v>
      </c>
      <c r="C27" s="25" t="n">
        <v>1</v>
      </c>
      <c r="D27" s="26" t="n">
        <v>71.6</v>
      </c>
      <c r="E27" s="27" t="s">
        <v>28</v>
      </c>
    </row>
    <row r="28" customFormat="false" ht="15" hidden="false" customHeight="false" outlineLevel="0" collapsed="false">
      <c r="A28" s="23" t="s">
        <v>46</v>
      </c>
      <c r="B28" s="24" t="s">
        <v>47</v>
      </c>
      <c r="C28" s="25" t="n">
        <v>1</v>
      </c>
      <c r="D28" s="26" t="n">
        <v>71.6</v>
      </c>
      <c r="E28" s="27" t="s">
        <v>28</v>
      </c>
    </row>
    <row r="29" customFormat="false" ht="15" hidden="false" customHeight="false" outlineLevel="0" collapsed="false">
      <c r="A29" s="23" t="s">
        <v>46</v>
      </c>
      <c r="B29" s="24" t="s">
        <v>47</v>
      </c>
      <c r="C29" s="25" t="n">
        <v>1</v>
      </c>
      <c r="D29" s="26" t="n">
        <v>71.6</v>
      </c>
      <c r="E29" s="27" t="s">
        <v>28</v>
      </c>
    </row>
    <row r="30" customFormat="false" ht="15" hidden="false" customHeight="false" outlineLevel="0" collapsed="false">
      <c r="A30" s="23" t="s">
        <v>46</v>
      </c>
      <c r="B30" s="24" t="s">
        <v>47</v>
      </c>
      <c r="C30" s="25" t="n">
        <v>1</v>
      </c>
      <c r="D30" s="26" t="n">
        <v>71.6</v>
      </c>
      <c r="E30" s="27" t="s">
        <v>28</v>
      </c>
    </row>
    <row r="31" customFormat="false" ht="15" hidden="false" customHeight="false" outlineLevel="0" collapsed="false">
      <c r="A31" s="23" t="s">
        <v>46</v>
      </c>
      <c r="B31" s="24" t="s">
        <v>48</v>
      </c>
      <c r="C31" s="25" t="n">
        <v>1</v>
      </c>
      <c r="D31" s="26" t="n">
        <v>78</v>
      </c>
      <c r="E31" s="27" t="s">
        <v>33</v>
      </c>
    </row>
    <row r="32" customFormat="false" ht="15" hidden="false" customHeight="false" outlineLevel="0" collapsed="false">
      <c r="A32" s="23" t="s">
        <v>46</v>
      </c>
      <c r="B32" s="24" t="s">
        <v>48</v>
      </c>
      <c r="C32" s="25" t="n">
        <v>1</v>
      </c>
      <c r="D32" s="26" t="n">
        <v>78</v>
      </c>
      <c r="E32" s="27" t="s">
        <v>33</v>
      </c>
    </row>
    <row r="33" customFormat="false" ht="15" hidden="false" customHeight="false" outlineLevel="0" collapsed="false">
      <c r="A33" s="23" t="s">
        <v>46</v>
      </c>
      <c r="B33" s="24" t="s">
        <v>48</v>
      </c>
      <c r="C33" s="25" t="n">
        <v>1</v>
      </c>
      <c r="D33" s="26" t="n">
        <v>78</v>
      </c>
      <c r="E33" s="27" t="s">
        <v>33</v>
      </c>
    </row>
    <row r="34" customFormat="false" ht="15" hidden="false" customHeight="false" outlineLevel="0" collapsed="false">
      <c r="A34" s="23" t="s">
        <v>46</v>
      </c>
      <c r="B34" s="24" t="s">
        <v>48</v>
      </c>
      <c r="C34" s="25" t="n">
        <v>1</v>
      </c>
      <c r="D34" s="26" t="n">
        <v>78</v>
      </c>
      <c r="E34" s="27" t="s">
        <v>33</v>
      </c>
    </row>
    <row r="35" customFormat="false" ht="15" hidden="false" customHeight="false" outlineLevel="0" collapsed="false">
      <c r="A35" s="23" t="s">
        <v>49</v>
      </c>
      <c r="B35" s="24"/>
      <c r="C35" s="25" t="n">
        <v>1</v>
      </c>
      <c r="D35" s="26" t="n">
        <v>63.77</v>
      </c>
      <c r="E35" s="27" t="s">
        <v>50</v>
      </c>
    </row>
    <row r="36" customFormat="false" ht="15" hidden="false" customHeight="false" outlineLevel="0" collapsed="false">
      <c r="A36" s="23" t="s">
        <v>51</v>
      </c>
      <c r="B36" s="24"/>
      <c r="C36" s="25" t="n">
        <v>1</v>
      </c>
      <c r="D36" s="26" t="n">
        <v>59.9</v>
      </c>
      <c r="E36" s="27" t="s">
        <v>50</v>
      </c>
    </row>
    <row r="37" customFormat="false" ht="15" hidden="false" customHeight="false" outlineLevel="0" collapsed="false">
      <c r="A37" s="23" t="s">
        <v>52</v>
      </c>
      <c r="B37" s="24" t="s">
        <v>53</v>
      </c>
      <c r="C37" s="25" t="n">
        <v>1</v>
      </c>
      <c r="D37" s="26" t="n">
        <v>167.36</v>
      </c>
      <c r="E37" s="27" t="s">
        <v>50</v>
      </c>
    </row>
    <row r="38" customFormat="false" ht="15" hidden="false" customHeight="false" outlineLevel="0" collapsed="false">
      <c r="A38" s="23" t="s">
        <v>54</v>
      </c>
      <c r="B38" s="24" t="s">
        <v>55</v>
      </c>
      <c r="C38" s="25" t="n">
        <v>7</v>
      </c>
      <c r="D38" s="26" t="n">
        <v>69.62</v>
      </c>
      <c r="E38" s="27" t="s">
        <v>28</v>
      </c>
    </row>
    <row r="39" customFormat="false" ht="15" hidden="false" customHeight="false" outlineLevel="0" collapsed="false">
      <c r="A39" s="23" t="s">
        <v>56</v>
      </c>
      <c r="B39" s="24"/>
      <c r="C39" s="25" t="n">
        <v>1</v>
      </c>
      <c r="D39" s="26" t="n">
        <v>42.31</v>
      </c>
      <c r="E39" s="27" t="s">
        <v>28</v>
      </c>
    </row>
    <row r="40" customFormat="false" ht="15" hidden="false" customHeight="false" outlineLevel="0" collapsed="false">
      <c r="A40" s="23" t="s">
        <v>56</v>
      </c>
      <c r="B40" s="24"/>
      <c r="C40" s="25" t="n">
        <v>1</v>
      </c>
      <c r="D40" s="26" t="n">
        <v>42.31</v>
      </c>
      <c r="E40" s="27" t="s">
        <v>28</v>
      </c>
    </row>
    <row r="41" customFormat="false" ht="15" hidden="false" customHeight="false" outlineLevel="0" collapsed="false">
      <c r="A41" s="23" t="s">
        <v>57</v>
      </c>
      <c r="B41" s="24" t="s">
        <v>58</v>
      </c>
      <c r="C41" s="25" t="n">
        <v>2</v>
      </c>
      <c r="D41" s="26" t="n">
        <v>80.54</v>
      </c>
      <c r="E41" s="27" t="s">
        <v>33</v>
      </c>
    </row>
    <row r="42" customFormat="false" ht="15" hidden="false" customHeight="false" outlineLevel="0" collapsed="false">
      <c r="A42" s="23" t="s">
        <v>59</v>
      </c>
      <c r="B42" s="24" t="s">
        <v>60</v>
      </c>
      <c r="C42" s="25" t="n">
        <v>1</v>
      </c>
      <c r="D42" s="26" t="n">
        <v>85.73</v>
      </c>
      <c r="E42" s="27" t="s">
        <v>28</v>
      </c>
    </row>
    <row r="43" customFormat="false" ht="15" hidden="false" customHeight="false" outlineLevel="0" collapsed="false">
      <c r="A43" s="23" t="s">
        <v>61</v>
      </c>
      <c r="B43" s="24" t="s">
        <v>62</v>
      </c>
      <c r="C43" s="25" t="n">
        <v>1</v>
      </c>
      <c r="D43" s="26" t="n">
        <v>92.58</v>
      </c>
      <c r="E43" s="27" t="s">
        <v>63</v>
      </c>
    </row>
    <row r="44" customFormat="false" ht="15" hidden="false" customHeight="false" outlineLevel="0" collapsed="false">
      <c r="A44" s="23" t="s">
        <v>61</v>
      </c>
      <c r="B44" s="24" t="s">
        <v>64</v>
      </c>
      <c r="C44" s="25" t="n">
        <v>1</v>
      </c>
      <c r="D44" s="26" t="n">
        <v>97.65</v>
      </c>
      <c r="E44" s="27" t="s">
        <v>33</v>
      </c>
    </row>
    <row r="45" customFormat="false" ht="15" hidden="false" customHeight="false" outlineLevel="0" collapsed="false">
      <c r="A45" s="28" t="s">
        <v>65</v>
      </c>
      <c r="B45" s="28"/>
      <c r="C45" s="28"/>
      <c r="D45" s="29" t="n">
        <f aca="false">SUM(D6:D44)</f>
        <v>5387.25</v>
      </c>
      <c r="E45" s="30"/>
    </row>
    <row r="47" customFormat="false" ht="15" hidden="false" customHeight="false" outlineLevel="0" collapsed="false">
      <c r="A47" s="31" t="s">
        <v>66</v>
      </c>
      <c r="B47" s="31"/>
      <c r="C47" s="31"/>
      <c r="D47" s="31"/>
      <c r="E47" s="31"/>
    </row>
    <row r="48" customFormat="false" ht="15" hidden="false" customHeight="false" outlineLevel="0" collapsed="false">
      <c r="A48" s="21" t="s">
        <v>19</v>
      </c>
      <c r="B48" s="21" t="s">
        <v>20</v>
      </c>
      <c r="C48" s="22" t="s">
        <v>21</v>
      </c>
      <c r="D48" s="22" t="s">
        <v>22</v>
      </c>
      <c r="E48" s="21" t="s">
        <v>23</v>
      </c>
    </row>
    <row r="49" customFormat="false" ht="15" hidden="false" customHeight="false" outlineLevel="0" collapsed="false">
      <c r="A49" s="23" t="s">
        <v>67</v>
      </c>
      <c r="B49" s="24" t="s">
        <v>68</v>
      </c>
      <c r="C49" s="25" t="n">
        <v>1</v>
      </c>
      <c r="D49" s="26" t="n">
        <v>21.42</v>
      </c>
      <c r="E49" s="27" t="s">
        <v>69</v>
      </c>
    </row>
    <row r="50" customFormat="false" ht="15" hidden="false" customHeight="false" outlineLevel="0" collapsed="false">
      <c r="A50" s="23" t="s">
        <v>70</v>
      </c>
      <c r="B50" s="24" t="s">
        <v>68</v>
      </c>
      <c r="C50" s="25" t="n">
        <v>1</v>
      </c>
      <c r="D50" s="26" t="n">
        <v>18.4</v>
      </c>
      <c r="E50" s="27" t="s">
        <v>71</v>
      </c>
    </row>
    <row r="51" customFormat="false" ht="15" hidden="false" customHeight="false" outlineLevel="0" collapsed="false">
      <c r="A51" s="23" t="s">
        <v>72</v>
      </c>
      <c r="B51" s="24" t="s">
        <v>73</v>
      </c>
      <c r="C51" s="25" t="n">
        <v>10</v>
      </c>
      <c r="D51" s="26" t="n">
        <v>64.07</v>
      </c>
      <c r="E51" s="27" t="s">
        <v>71</v>
      </c>
    </row>
    <row r="52" customFormat="false" ht="15" hidden="false" customHeight="false" outlineLevel="0" collapsed="false">
      <c r="A52" s="23" t="s">
        <v>74</v>
      </c>
      <c r="B52" s="24" t="s">
        <v>58</v>
      </c>
      <c r="C52" s="25" t="n">
        <v>2</v>
      </c>
      <c r="D52" s="26" t="n">
        <v>55.24</v>
      </c>
      <c r="E52" s="27" t="s">
        <v>63</v>
      </c>
    </row>
    <row r="53" customFormat="false" ht="15" hidden="false" customHeight="false" outlineLevel="0" collapsed="false">
      <c r="A53" s="23" t="s">
        <v>74</v>
      </c>
      <c r="B53" s="24" t="s">
        <v>58</v>
      </c>
      <c r="C53" s="25" t="n">
        <v>2</v>
      </c>
      <c r="D53" s="26" t="n">
        <v>55.24</v>
      </c>
      <c r="E53" s="27" t="s">
        <v>63</v>
      </c>
    </row>
    <row r="54" customFormat="false" ht="15" hidden="false" customHeight="false" outlineLevel="0" collapsed="false">
      <c r="A54" s="23" t="s">
        <v>74</v>
      </c>
      <c r="B54" s="24" t="s">
        <v>58</v>
      </c>
      <c r="C54" s="25" t="n">
        <v>2</v>
      </c>
      <c r="D54" s="26" t="n">
        <v>55.24</v>
      </c>
      <c r="E54" s="27" t="s">
        <v>71</v>
      </c>
    </row>
    <row r="55" customFormat="false" ht="15" hidden="false" customHeight="false" outlineLevel="0" collapsed="false">
      <c r="A55" s="23" t="s">
        <v>74</v>
      </c>
      <c r="B55" s="24" t="s">
        <v>58</v>
      </c>
      <c r="C55" s="25" t="n">
        <v>2</v>
      </c>
      <c r="D55" s="26" t="n">
        <v>55.24</v>
      </c>
      <c r="E55" s="27" t="s">
        <v>71</v>
      </c>
    </row>
    <row r="56" customFormat="false" ht="15" hidden="false" customHeight="false" outlineLevel="0" collapsed="false">
      <c r="A56" s="23" t="s">
        <v>75</v>
      </c>
      <c r="B56" s="24" t="s">
        <v>76</v>
      </c>
      <c r="C56" s="25" t="n">
        <v>8</v>
      </c>
      <c r="D56" s="26" t="n">
        <v>35.64</v>
      </c>
      <c r="E56" s="27" t="s">
        <v>28</v>
      </c>
    </row>
    <row r="57" customFormat="false" ht="15" hidden="false" customHeight="false" outlineLevel="0" collapsed="false">
      <c r="A57" s="23" t="s">
        <v>77</v>
      </c>
      <c r="B57" s="24" t="s">
        <v>78</v>
      </c>
      <c r="C57" s="25" t="n">
        <v>4</v>
      </c>
      <c r="D57" s="26" t="n">
        <v>86.28</v>
      </c>
      <c r="E57" s="27" t="s">
        <v>28</v>
      </c>
    </row>
    <row r="58" customFormat="false" ht="15" hidden="false" customHeight="false" outlineLevel="0" collapsed="false">
      <c r="A58" s="23" t="s">
        <v>79</v>
      </c>
      <c r="B58" s="24" t="s">
        <v>80</v>
      </c>
      <c r="C58" s="25" t="n">
        <v>6</v>
      </c>
      <c r="D58" s="26" t="n">
        <v>29.93</v>
      </c>
      <c r="E58" s="27" t="s">
        <v>63</v>
      </c>
    </row>
    <row r="59" customFormat="false" ht="15" hidden="false" customHeight="false" outlineLevel="0" collapsed="false">
      <c r="A59" s="23" t="s">
        <v>81</v>
      </c>
      <c r="B59" s="24" t="s">
        <v>82</v>
      </c>
      <c r="C59" s="25" t="n">
        <v>1</v>
      </c>
      <c r="D59" s="26" t="n">
        <v>24.95</v>
      </c>
      <c r="E59" s="27" t="s">
        <v>25</v>
      </c>
    </row>
    <row r="60" customFormat="false" ht="15" hidden="false" customHeight="false" outlineLevel="0" collapsed="false">
      <c r="A60" s="23" t="s">
        <v>81</v>
      </c>
      <c r="B60" s="24" t="s">
        <v>83</v>
      </c>
      <c r="C60" s="25" t="n">
        <v>1</v>
      </c>
      <c r="D60" s="26" t="n">
        <v>25.69</v>
      </c>
      <c r="E60" s="27" t="s">
        <v>25</v>
      </c>
    </row>
    <row r="61" customFormat="false" ht="15" hidden="false" customHeight="false" outlineLevel="0" collapsed="false">
      <c r="A61" s="23" t="s">
        <v>81</v>
      </c>
      <c r="B61" s="24" t="s">
        <v>84</v>
      </c>
      <c r="C61" s="25" t="n">
        <v>1</v>
      </c>
      <c r="D61" s="26" t="n">
        <v>22.73</v>
      </c>
      <c r="E61" s="27" t="s">
        <v>85</v>
      </c>
    </row>
    <row r="62" customFormat="false" ht="15" hidden="false" customHeight="false" outlineLevel="0" collapsed="false">
      <c r="A62" s="23" t="s">
        <v>81</v>
      </c>
      <c r="B62" s="24" t="s">
        <v>86</v>
      </c>
      <c r="C62" s="25" t="n">
        <v>1</v>
      </c>
      <c r="D62" s="26" t="n">
        <v>25.18</v>
      </c>
      <c r="E62" s="27" t="s">
        <v>85</v>
      </c>
    </row>
    <row r="63" customFormat="false" ht="15" hidden="false" customHeight="false" outlineLevel="0" collapsed="false">
      <c r="A63" s="23" t="s">
        <v>81</v>
      </c>
      <c r="B63" s="24" t="s">
        <v>87</v>
      </c>
      <c r="C63" s="25" t="n">
        <v>1</v>
      </c>
      <c r="D63" s="26" t="n">
        <v>23.6</v>
      </c>
      <c r="E63" s="27" t="s">
        <v>85</v>
      </c>
    </row>
    <row r="64" customFormat="false" ht="15" hidden="false" customHeight="false" outlineLevel="0" collapsed="false">
      <c r="A64" s="28" t="s">
        <v>88</v>
      </c>
      <c r="B64" s="28"/>
      <c r="C64" s="28"/>
      <c r="D64" s="29" t="n">
        <f aca="false">SUM(D49:D63)</f>
        <v>598.85</v>
      </c>
      <c r="E64" s="30"/>
    </row>
    <row r="66" customFormat="false" ht="15" hidden="false" customHeight="false" outlineLevel="0" collapsed="false">
      <c r="A66" s="32" t="s">
        <v>89</v>
      </c>
      <c r="B66" s="32"/>
      <c r="C66" s="32"/>
      <c r="D66" s="32"/>
      <c r="E66" s="32"/>
    </row>
    <row r="67" customFormat="false" ht="15" hidden="false" customHeight="false" outlineLevel="0" collapsed="false">
      <c r="A67" s="21" t="s">
        <v>19</v>
      </c>
      <c r="B67" s="21" t="s">
        <v>20</v>
      </c>
      <c r="C67" s="22" t="s">
        <v>21</v>
      </c>
      <c r="D67" s="22" t="s">
        <v>22</v>
      </c>
      <c r="E67" s="21" t="s">
        <v>23</v>
      </c>
    </row>
    <row r="68" customFormat="false" ht="15" hidden="false" customHeight="false" outlineLevel="0" collapsed="false">
      <c r="A68" s="23" t="s">
        <v>90</v>
      </c>
      <c r="B68" s="24" t="s">
        <v>68</v>
      </c>
      <c r="C68" s="25" t="n">
        <v>1</v>
      </c>
      <c r="D68" s="26" t="n">
        <v>1.96</v>
      </c>
      <c r="E68" s="27" t="s">
        <v>25</v>
      </c>
    </row>
    <row r="69" customFormat="false" ht="15" hidden="false" customHeight="false" outlineLevel="0" collapsed="false">
      <c r="A69" s="23" t="s">
        <v>90</v>
      </c>
      <c r="B69" s="24" t="s">
        <v>68</v>
      </c>
      <c r="C69" s="25" t="n">
        <v>1</v>
      </c>
      <c r="D69" s="26" t="n">
        <v>1.96</v>
      </c>
      <c r="E69" s="27" t="s">
        <v>25</v>
      </c>
    </row>
    <row r="70" customFormat="false" ht="15" hidden="false" customHeight="false" outlineLevel="0" collapsed="false">
      <c r="A70" s="23" t="s">
        <v>90</v>
      </c>
      <c r="B70" s="24" t="s">
        <v>68</v>
      </c>
      <c r="C70" s="25" t="n">
        <v>1</v>
      </c>
      <c r="D70" s="26" t="n">
        <v>1.96</v>
      </c>
      <c r="E70" s="27" t="s">
        <v>25</v>
      </c>
    </row>
    <row r="71" customFormat="false" ht="15" hidden="false" customHeight="false" outlineLevel="0" collapsed="false">
      <c r="A71" s="23" t="s">
        <v>90</v>
      </c>
      <c r="B71" s="24" t="s">
        <v>68</v>
      </c>
      <c r="C71" s="25" t="n">
        <v>1</v>
      </c>
      <c r="D71" s="26" t="n">
        <v>1.96</v>
      </c>
      <c r="E71" s="27" t="s">
        <v>25</v>
      </c>
    </row>
    <row r="72" customFormat="false" ht="15" hidden="false" customHeight="false" outlineLevel="0" collapsed="false">
      <c r="A72" s="23" t="s">
        <v>91</v>
      </c>
      <c r="B72" s="24" t="s">
        <v>55</v>
      </c>
      <c r="C72" s="25" t="n">
        <v>7</v>
      </c>
      <c r="D72" s="26" t="n">
        <v>32.27</v>
      </c>
      <c r="E72" s="27" t="s">
        <v>71</v>
      </c>
    </row>
    <row r="73" customFormat="false" ht="15" hidden="false" customHeight="false" outlineLevel="0" collapsed="false">
      <c r="A73" s="23" t="s">
        <v>92</v>
      </c>
      <c r="B73" s="24"/>
      <c r="C73" s="25" t="n">
        <v>1</v>
      </c>
      <c r="D73" s="26" t="n">
        <v>39.78</v>
      </c>
      <c r="E73" s="27" t="s">
        <v>25</v>
      </c>
    </row>
    <row r="74" customFormat="false" ht="15" hidden="false" customHeight="false" outlineLevel="0" collapsed="false">
      <c r="A74" s="23" t="s">
        <v>93</v>
      </c>
      <c r="B74" s="24"/>
      <c r="C74" s="25" t="n">
        <v>1</v>
      </c>
      <c r="D74" s="26" t="n">
        <v>53.38</v>
      </c>
      <c r="E74" s="27" t="s">
        <v>63</v>
      </c>
    </row>
    <row r="75" customFormat="false" ht="15" hidden="false" customHeight="false" outlineLevel="0" collapsed="false">
      <c r="A75" s="23" t="s">
        <v>93</v>
      </c>
      <c r="B75" s="24" t="s">
        <v>94</v>
      </c>
      <c r="C75" s="25" t="n">
        <v>-1</v>
      </c>
      <c r="D75" s="26" t="n">
        <v>-53.38</v>
      </c>
      <c r="E75" s="27" t="s">
        <v>63</v>
      </c>
    </row>
    <row r="76" customFormat="false" ht="15" hidden="false" customHeight="false" outlineLevel="0" collapsed="false">
      <c r="A76" s="23" t="s">
        <v>95</v>
      </c>
      <c r="B76" s="24"/>
      <c r="C76" s="25" t="n">
        <v>1</v>
      </c>
      <c r="D76" s="26" t="n">
        <v>46.95</v>
      </c>
      <c r="E76" s="27" t="s">
        <v>25</v>
      </c>
    </row>
    <row r="77" customFormat="false" ht="15" hidden="false" customHeight="false" outlineLevel="0" collapsed="false">
      <c r="A77" s="23" t="s">
        <v>95</v>
      </c>
      <c r="B77" s="24"/>
      <c r="C77" s="25" t="n">
        <v>1</v>
      </c>
      <c r="D77" s="26" t="n">
        <v>34.95</v>
      </c>
      <c r="E77" s="27" t="s">
        <v>25</v>
      </c>
    </row>
    <row r="78" customFormat="false" ht="15" hidden="false" customHeight="false" outlineLevel="0" collapsed="false">
      <c r="A78" s="23" t="s">
        <v>95</v>
      </c>
      <c r="B78" s="24"/>
      <c r="C78" s="25" t="n">
        <v>1</v>
      </c>
      <c r="D78" s="26" t="n">
        <v>48.95</v>
      </c>
      <c r="E78" s="27" t="s">
        <v>85</v>
      </c>
    </row>
    <row r="79" customFormat="false" ht="15" hidden="false" customHeight="false" outlineLevel="0" collapsed="false">
      <c r="A79" s="23" t="s">
        <v>96</v>
      </c>
      <c r="B79" s="24"/>
      <c r="C79" s="25" t="n">
        <v>1</v>
      </c>
      <c r="D79" s="26" t="n">
        <v>17.49</v>
      </c>
      <c r="E79" s="27" t="s">
        <v>25</v>
      </c>
    </row>
    <row r="80" customFormat="false" ht="15" hidden="false" customHeight="false" outlineLevel="0" collapsed="false">
      <c r="A80" s="23" t="s">
        <v>96</v>
      </c>
      <c r="B80" s="24"/>
      <c r="C80" s="25" t="n">
        <v>1</v>
      </c>
      <c r="D80" s="26" t="n">
        <v>17.49</v>
      </c>
      <c r="E80" s="27" t="s">
        <v>25</v>
      </c>
    </row>
    <row r="81" customFormat="false" ht="15" hidden="false" customHeight="false" outlineLevel="0" collapsed="false">
      <c r="A81" s="23" t="s">
        <v>97</v>
      </c>
      <c r="B81" s="24"/>
      <c r="C81" s="25" t="n">
        <v>1</v>
      </c>
      <c r="D81" s="26" t="n">
        <v>7.42</v>
      </c>
      <c r="E81" s="27" t="s">
        <v>28</v>
      </c>
    </row>
    <row r="82" customFormat="false" ht="15" hidden="false" customHeight="false" outlineLevel="0" collapsed="false">
      <c r="A82" s="23" t="s">
        <v>97</v>
      </c>
      <c r="B82" s="24"/>
      <c r="C82" s="25" t="n">
        <v>1</v>
      </c>
      <c r="D82" s="26" t="n">
        <v>7.42</v>
      </c>
      <c r="E82" s="27" t="s">
        <v>28</v>
      </c>
    </row>
    <row r="83" customFormat="false" ht="15" hidden="false" customHeight="false" outlineLevel="0" collapsed="false">
      <c r="A83" s="23" t="s">
        <v>97</v>
      </c>
      <c r="B83" s="24"/>
      <c r="C83" s="25" t="n">
        <v>1</v>
      </c>
      <c r="D83" s="26" t="n">
        <v>7.48</v>
      </c>
      <c r="E83" s="27" t="s">
        <v>25</v>
      </c>
    </row>
    <row r="84" customFormat="false" ht="15" hidden="false" customHeight="false" outlineLevel="0" collapsed="false">
      <c r="A84" s="23" t="s">
        <v>97</v>
      </c>
      <c r="B84" s="24"/>
      <c r="C84" s="25" t="n">
        <v>1</v>
      </c>
      <c r="D84" s="26" t="n">
        <v>7.48</v>
      </c>
      <c r="E84" s="27" t="s">
        <v>25</v>
      </c>
    </row>
    <row r="85" customFormat="false" ht="15" hidden="false" customHeight="false" outlineLevel="0" collapsed="false">
      <c r="A85" s="23" t="s">
        <v>98</v>
      </c>
      <c r="B85" s="24"/>
      <c r="C85" s="25" t="n">
        <v>1</v>
      </c>
      <c r="D85" s="26" t="n">
        <v>20.51</v>
      </c>
      <c r="E85" s="27" t="s">
        <v>25</v>
      </c>
    </row>
    <row r="86" customFormat="false" ht="15" hidden="false" customHeight="false" outlineLevel="0" collapsed="false">
      <c r="A86" s="23" t="s">
        <v>98</v>
      </c>
      <c r="B86" s="24"/>
      <c r="C86" s="25" t="n">
        <v>1</v>
      </c>
      <c r="D86" s="26" t="n">
        <v>16.86</v>
      </c>
      <c r="E86" s="27" t="s">
        <v>25</v>
      </c>
    </row>
    <row r="87" customFormat="false" ht="15" hidden="false" customHeight="false" outlineLevel="0" collapsed="false">
      <c r="A87" s="23" t="s">
        <v>99</v>
      </c>
      <c r="B87" s="24" t="s">
        <v>68</v>
      </c>
      <c r="C87" s="25" t="n">
        <v>1</v>
      </c>
      <c r="D87" s="26" t="n">
        <v>2.95</v>
      </c>
      <c r="E87" s="27" t="s">
        <v>25</v>
      </c>
    </row>
    <row r="88" customFormat="false" ht="15" hidden="false" customHeight="false" outlineLevel="0" collapsed="false">
      <c r="A88" s="23" t="s">
        <v>99</v>
      </c>
      <c r="B88" s="24" t="s">
        <v>76</v>
      </c>
      <c r="C88" s="25" t="n">
        <v>8</v>
      </c>
      <c r="D88" s="26" t="n">
        <v>38.95</v>
      </c>
      <c r="E88" s="27" t="s">
        <v>69</v>
      </c>
    </row>
    <row r="89" customFormat="false" ht="15" hidden="false" customHeight="false" outlineLevel="0" collapsed="false">
      <c r="A89" s="23" t="s">
        <v>100</v>
      </c>
      <c r="B89" s="24"/>
      <c r="C89" s="25" t="n">
        <v>1</v>
      </c>
      <c r="D89" s="26" t="n">
        <v>35.74</v>
      </c>
      <c r="E89" s="27" t="s">
        <v>63</v>
      </c>
    </row>
    <row r="90" customFormat="false" ht="15" hidden="false" customHeight="false" outlineLevel="0" collapsed="false">
      <c r="A90" s="23" t="s">
        <v>100</v>
      </c>
      <c r="B90" s="24"/>
      <c r="C90" s="25" t="n">
        <v>1</v>
      </c>
      <c r="D90" s="26" t="n">
        <v>40.69</v>
      </c>
      <c r="E90" s="27" t="s">
        <v>85</v>
      </c>
    </row>
    <row r="91" customFormat="false" ht="15" hidden="false" customHeight="false" outlineLevel="0" collapsed="false">
      <c r="A91" s="23" t="s">
        <v>101</v>
      </c>
      <c r="B91" s="24" t="s">
        <v>68</v>
      </c>
      <c r="C91" s="25" t="n">
        <v>1</v>
      </c>
      <c r="D91" s="26" t="n">
        <v>11.87</v>
      </c>
      <c r="E91" s="27" t="s">
        <v>28</v>
      </c>
    </row>
    <row r="92" customFormat="false" ht="15" hidden="false" customHeight="false" outlineLevel="0" collapsed="false">
      <c r="A92" s="23" t="s">
        <v>102</v>
      </c>
      <c r="B92" s="24"/>
      <c r="C92" s="25" t="n">
        <v>1</v>
      </c>
      <c r="D92" s="26" t="n">
        <v>17.64</v>
      </c>
      <c r="E92" s="27" t="s">
        <v>71</v>
      </c>
    </row>
    <row r="93" customFormat="false" ht="15" hidden="false" customHeight="false" outlineLevel="0" collapsed="false">
      <c r="A93" s="23" t="s">
        <v>103</v>
      </c>
      <c r="B93" s="24"/>
      <c r="C93" s="25" t="n">
        <v>1</v>
      </c>
      <c r="D93" s="26" t="n">
        <v>28.68</v>
      </c>
      <c r="E93" s="27" t="s">
        <v>85</v>
      </c>
    </row>
    <row r="94" customFormat="false" ht="15" hidden="false" customHeight="false" outlineLevel="0" collapsed="false">
      <c r="A94" s="23" t="s">
        <v>103</v>
      </c>
      <c r="B94" s="24"/>
      <c r="C94" s="25" t="n">
        <v>1</v>
      </c>
      <c r="D94" s="26" t="n">
        <v>28.68</v>
      </c>
      <c r="E94" s="27" t="s">
        <v>85</v>
      </c>
    </row>
    <row r="95" customFormat="false" ht="15" hidden="false" customHeight="false" outlineLevel="0" collapsed="false">
      <c r="A95" s="23" t="s">
        <v>104</v>
      </c>
      <c r="B95" s="24"/>
      <c r="C95" s="25" t="n">
        <v>1</v>
      </c>
      <c r="D95" s="26" t="n">
        <v>21.19</v>
      </c>
      <c r="E95" s="27" t="s">
        <v>63</v>
      </c>
    </row>
    <row r="96" customFormat="false" ht="15" hidden="false" customHeight="false" outlineLevel="0" collapsed="false">
      <c r="A96" s="23" t="s">
        <v>105</v>
      </c>
      <c r="B96" s="24"/>
      <c r="C96" s="25" t="n">
        <v>1</v>
      </c>
      <c r="D96" s="26" t="n">
        <v>5.23</v>
      </c>
      <c r="E96" s="27" t="s">
        <v>85</v>
      </c>
    </row>
    <row r="97" customFormat="false" ht="15" hidden="false" customHeight="false" outlineLevel="0" collapsed="false">
      <c r="A97" s="23" t="s">
        <v>106</v>
      </c>
      <c r="B97" s="24" t="s">
        <v>107</v>
      </c>
      <c r="C97" s="25" t="n">
        <v>2</v>
      </c>
      <c r="D97" s="26" t="n">
        <v>27.22</v>
      </c>
      <c r="E97" s="27" t="s">
        <v>25</v>
      </c>
    </row>
    <row r="98" customFormat="false" ht="15" hidden="false" customHeight="false" outlineLevel="0" collapsed="false">
      <c r="A98" s="23" t="s">
        <v>108</v>
      </c>
      <c r="B98" s="24"/>
      <c r="C98" s="25" t="n">
        <v>1</v>
      </c>
      <c r="D98" s="26" t="n">
        <v>37.98</v>
      </c>
      <c r="E98" s="27" t="s">
        <v>71</v>
      </c>
    </row>
    <row r="99" customFormat="false" ht="15" hidden="false" customHeight="false" outlineLevel="0" collapsed="false">
      <c r="A99" s="23" t="s">
        <v>109</v>
      </c>
      <c r="B99" s="24" t="s">
        <v>68</v>
      </c>
      <c r="C99" s="25" t="n">
        <v>1</v>
      </c>
      <c r="D99" s="26" t="n">
        <v>12.14</v>
      </c>
      <c r="E99" s="27" t="s">
        <v>69</v>
      </c>
    </row>
    <row r="100" customFormat="false" ht="15" hidden="false" customHeight="false" outlineLevel="0" collapsed="false">
      <c r="A100" s="23" t="s">
        <v>110</v>
      </c>
      <c r="B100" s="24" t="s">
        <v>68</v>
      </c>
      <c r="C100" s="25" t="n">
        <v>1</v>
      </c>
      <c r="D100" s="26" t="n">
        <v>4.52</v>
      </c>
      <c r="E100" s="27" t="s">
        <v>25</v>
      </c>
    </row>
    <row r="101" customFormat="false" ht="15" hidden="false" customHeight="false" outlineLevel="0" collapsed="false">
      <c r="A101" s="23" t="s">
        <v>111</v>
      </c>
      <c r="B101" s="24"/>
      <c r="C101" s="25" t="n">
        <v>1</v>
      </c>
      <c r="D101" s="26" t="n">
        <v>16.98</v>
      </c>
      <c r="E101" s="27" t="s">
        <v>25</v>
      </c>
    </row>
    <row r="102" customFormat="false" ht="15" hidden="false" customHeight="false" outlineLevel="0" collapsed="false">
      <c r="A102" s="23" t="s">
        <v>111</v>
      </c>
      <c r="B102" s="24"/>
      <c r="C102" s="25" t="n">
        <v>1</v>
      </c>
      <c r="D102" s="26" t="n">
        <v>16.98</v>
      </c>
      <c r="E102" s="27" t="s">
        <v>71</v>
      </c>
    </row>
    <row r="103" customFormat="false" ht="15" hidden="false" customHeight="false" outlineLevel="0" collapsed="false">
      <c r="A103" s="23" t="s">
        <v>112</v>
      </c>
      <c r="B103" s="24"/>
      <c r="C103" s="25" t="n">
        <v>1</v>
      </c>
      <c r="D103" s="26" t="n">
        <v>43.7</v>
      </c>
      <c r="E103" s="27" t="s">
        <v>28</v>
      </c>
    </row>
    <row r="104" customFormat="false" ht="15" hidden="false" customHeight="false" outlineLevel="0" collapsed="false">
      <c r="A104" s="23" t="s">
        <v>113</v>
      </c>
      <c r="B104" s="24" t="s">
        <v>68</v>
      </c>
      <c r="C104" s="25" t="n">
        <v>1</v>
      </c>
      <c r="D104" s="26" t="n">
        <v>9.95</v>
      </c>
      <c r="E104" s="27" t="s">
        <v>25</v>
      </c>
    </row>
    <row r="105" customFormat="false" ht="15" hidden="false" customHeight="false" outlineLevel="0" collapsed="false">
      <c r="A105" s="23" t="s">
        <v>113</v>
      </c>
      <c r="B105" s="24" t="s">
        <v>114</v>
      </c>
      <c r="C105" s="25" t="n">
        <v>1</v>
      </c>
      <c r="D105" s="26"/>
      <c r="E105" s="27" t="s">
        <v>25</v>
      </c>
    </row>
    <row r="106" customFormat="false" ht="15" hidden="false" customHeight="false" outlineLevel="0" collapsed="false">
      <c r="A106" s="23" t="s">
        <v>113</v>
      </c>
      <c r="B106" s="24" t="s">
        <v>68</v>
      </c>
      <c r="C106" s="25" t="n">
        <v>1</v>
      </c>
      <c r="D106" s="26" t="n">
        <v>9.72</v>
      </c>
      <c r="E106" s="27" t="s">
        <v>69</v>
      </c>
    </row>
    <row r="107" customFormat="false" ht="15" hidden="false" customHeight="false" outlineLevel="0" collapsed="false">
      <c r="A107" s="23" t="s">
        <v>115</v>
      </c>
      <c r="B107" s="24" t="s">
        <v>68</v>
      </c>
      <c r="C107" s="25" t="n">
        <v>1</v>
      </c>
      <c r="D107" s="26" t="n">
        <v>8.55</v>
      </c>
      <c r="E107" s="27" t="s">
        <v>71</v>
      </c>
    </row>
    <row r="108" customFormat="false" ht="15" hidden="false" customHeight="false" outlineLevel="0" collapsed="false">
      <c r="A108" s="23" t="s">
        <v>115</v>
      </c>
      <c r="B108" s="24" t="s">
        <v>68</v>
      </c>
      <c r="C108" s="25" t="n">
        <v>1</v>
      </c>
      <c r="D108" s="26" t="n">
        <v>8.55</v>
      </c>
      <c r="E108" s="27" t="s">
        <v>71</v>
      </c>
    </row>
    <row r="109" customFormat="false" ht="15" hidden="false" customHeight="false" outlineLevel="0" collapsed="false">
      <c r="A109" s="23" t="s">
        <v>115</v>
      </c>
      <c r="B109" s="24" t="s">
        <v>68</v>
      </c>
      <c r="C109" s="25" t="n">
        <v>1</v>
      </c>
      <c r="D109" s="26" t="n">
        <v>8.55</v>
      </c>
      <c r="E109" s="27" t="s">
        <v>71</v>
      </c>
    </row>
    <row r="110" customFormat="false" ht="15" hidden="false" customHeight="false" outlineLevel="0" collapsed="false">
      <c r="A110" s="23" t="s">
        <v>115</v>
      </c>
      <c r="B110" s="24" t="s">
        <v>80</v>
      </c>
      <c r="C110" s="25" t="n">
        <v>6</v>
      </c>
      <c r="D110" s="26" t="n">
        <v>45.86</v>
      </c>
      <c r="E110" s="27" t="s">
        <v>69</v>
      </c>
    </row>
    <row r="111" customFormat="false" ht="15" hidden="false" customHeight="false" outlineLevel="0" collapsed="false">
      <c r="A111" s="23" t="s">
        <v>116</v>
      </c>
      <c r="B111" s="24" t="s">
        <v>80</v>
      </c>
      <c r="C111" s="25" t="n">
        <v>6</v>
      </c>
      <c r="D111" s="26" t="n">
        <v>35.32</v>
      </c>
      <c r="E111" s="27" t="s">
        <v>25</v>
      </c>
    </row>
    <row r="112" customFormat="false" ht="15" hidden="false" customHeight="false" outlineLevel="0" collapsed="false">
      <c r="A112" s="23" t="s">
        <v>116</v>
      </c>
      <c r="B112" s="24" t="s">
        <v>80</v>
      </c>
      <c r="C112" s="25" t="n">
        <v>6</v>
      </c>
      <c r="D112" s="26" t="n">
        <v>35.32</v>
      </c>
      <c r="E112" s="27" t="s">
        <v>71</v>
      </c>
    </row>
    <row r="113" customFormat="false" ht="15" hidden="false" customHeight="false" outlineLevel="0" collapsed="false">
      <c r="A113" s="23" t="s">
        <v>117</v>
      </c>
      <c r="B113" s="24" t="s">
        <v>118</v>
      </c>
      <c r="C113" s="25" t="n">
        <v>-1</v>
      </c>
      <c r="D113" s="26" t="n">
        <v>-5.89</v>
      </c>
      <c r="E113" s="27" t="s">
        <v>69</v>
      </c>
    </row>
    <row r="114" customFormat="false" ht="15" hidden="false" customHeight="false" outlineLevel="0" collapsed="false">
      <c r="A114" s="23" t="s">
        <v>119</v>
      </c>
      <c r="B114" s="24"/>
      <c r="C114" s="25" t="n">
        <v>1</v>
      </c>
      <c r="D114" s="26" t="n">
        <v>3.75</v>
      </c>
      <c r="E114" s="27" t="s">
        <v>71</v>
      </c>
    </row>
    <row r="115" customFormat="false" ht="15" hidden="false" customHeight="false" outlineLevel="0" collapsed="false">
      <c r="A115" s="23" t="s">
        <v>120</v>
      </c>
      <c r="B115" s="24"/>
      <c r="C115" s="25" t="n">
        <v>1</v>
      </c>
      <c r="D115" s="26" t="n">
        <v>51</v>
      </c>
      <c r="E115" s="27" t="s">
        <v>121</v>
      </c>
    </row>
    <row r="116" customFormat="false" ht="15" hidden="false" customHeight="false" outlineLevel="0" collapsed="false">
      <c r="A116" s="23" t="s">
        <v>122</v>
      </c>
      <c r="B116" s="24" t="s">
        <v>123</v>
      </c>
      <c r="C116" s="25" t="n">
        <v>60</v>
      </c>
      <c r="D116" s="26" t="n">
        <v>553.8</v>
      </c>
      <c r="E116" s="27" t="s">
        <v>71</v>
      </c>
    </row>
    <row r="117" customFormat="false" ht="15" hidden="false" customHeight="false" outlineLevel="0" collapsed="false">
      <c r="A117" s="23" t="s">
        <v>122</v>
      </c>
      <c r="B117" s="24" t="s">
        <v>124</v>
      </c>
      <c r="C117" s="25" t="n">
        <v>-60</v>
      </c>
      <c r="D117" s="26" t="n">
        <v>-553.8</v>
      </c>
      <c r="E117" s="27" t="s">
        <v>71</v>
      </c>
    </row>
    <row r="118" customFormat="false" ht="15" hidden="false" customHeight="false" outlineLevel="0" collapsed="false">
      <c r="A118" s="23" t="s">
        <v>122</v>
      </c>
      <c r="B118" s="24" t="s">
        <v>68</v>
      </c>
      <c r="C118" s="25" t="n">
        <v>1</v>
      </c>
      <c r="D118" s="26" t="n">
        <v>9.33</v>
      </c>
      <c r="E118" s="27" t="s">
        <v>71</v>
      </c>
    </row>
    <row r="119" customFormat="false" ht="15" hidden="false" customHeight="false" outlineLevel="0" collapsed="false">
      <c r="A119" s="23" t="s">
        <v>122</v>
      </c>
      <c r="B119" s="24" t="s">
        <v>68</v>
      </c>
      <c r="C119" s="25" t="n">
        <v>1</v>
      </c>
      <c r="D119" s="26" t="n">
        <v>9.33</v>
      </c>
      <c r="E119" s="27" t="s">
        <v>71</v>
      </c>
    </row>
    <row r="120" customFormat="false" ht="15" hidden="false" customHeight="false" outlineLevel="0" collapsed="false">
      <c r="A120" s="23" t="s">
        <v>125</v>
      </c>
      <c r="B120" s="24" t="s">
        <v>68</v>
      </c>
      <c r="C120" s="25" t="n">
        <v>1</v>
      </c>
      <c r="D120" s="26" t="n">
        <v>9.21</v>
      </c>
      <c r="E120" s="27" t="s">
        <v>25</v>
      </c>
    </row>
    <row r="121" customFormat="false" ht="15" hidden="false" customHeight="false" outlineLevel="0" collapsed="false">
      <c r="A121" s="23" t="s">
        <v>125</v>
      </c>
      <c r="B121" s="24" t="s">
        <v>68</v>
      </c>
      <c r="C121" s="25" t="n">
        <v>1</v>
      </c>
      <c r="D121" s="26" t="n">
        <v>7.94</v>
      </c>
      <c r="E121" s="27" t="s">
        <v>69</v>
      </c>
    </row>
    <row r="122" customFormat="false" ht="15" hidden="false" customHeight="false" outlineLevel="0" collapsed="false">
      <c r="A122" s="23" t="s">
        <v>126</v>
      </c>
      <c r="B122" s="24" t="s">
        <v>68</v>
      </c>
      <c r="C122" s="25" t="n">
        <v>1</v>
      </c>
      <c r="D122" s="26" t="n">
        <v>10.92</v>
      </c>
      <c r="E122" s="27" t="s">
        <v>25</v>
      </c>
    </row>
    <row r="123" customFormat="false" ht="15" hidden="false" customHeight="false" outlineLevel="0" collapsed="false">
      <c r="A123" s="23" t="s">
        <v>127</v>
      </c>
      <c r="B123" s="24"/>
      <c r="C123" s="25" t="n">
        <v>1</v>
      </c>
      <c r="D123" s="26" t="n">
        <v>7.55</v>
      </c>
      <c r="E123" s="27" t="s">
        <v>25</v>
      </c>
    </row>
    <row r="124" customFormat="false" ht="15" hidden="false" customHeight="false" outlineLevel="0" collapsed="false">
      <c r="A124" s="23" t="s">
        <v>128</v>
      </c>
      <c r="B124" s="24"/>
      <c r="C124" s="25" t="n">
        <v>1</v>
      </c>
      <c r="D124" s="26" t="n">
        <v>25.58</v>
      </c>
      <c r="E124" s="27" t="s">
        <v>25</v>
      </c>
    </row>
    <row r="125" customFormat="false" ht="15" hidden="false" customHeight="false" outlineLevel="0" collapsed="false">
      <c r="A125" s="23" t="s">
        <v>128</v>
      </c>
      <c r="B125" s="24"/>
      <c r="C125" s="25" t="n">
        <v>1</v>
      </c>
      <c r="D125" s="26" t="n">
        <v>27.95</v>
      </c>
      <c r="E125" s="27" t="s">
        <v>69</v>
      </c>
    </row>
    <row r="126" customFormat="false" ht="15" hidden="false" customHeight="false" outlineLevel="0" collapsed="false">
      <c r="A126" s="23" t="s">
        <v>129</v>
      </c>
      <c r="B126" s="24"/>
      <c r="C126" s="25" t="n">
        <v>1</v>
      </c>
      <c r="D126" s="26" t="n">
        <v>39.95</v>
      </c>
      <c r="E126" s="27" t="s">
        <v>85</v>
      </c>
    </row>
    <row r="127" customFormat="false" ht="15" hidden="false" customHeight="false" outlineLevel="0" collapsed="false">
      <c r="A127" s="23" t="s">
        <v>129</v>
      </c>
      <c r="B127" s="24"/>
      <c r="C127" s="25" t="n">
        <v>1</v>
      </c>
      <c r="D127" s="26" t="n">
        <v>39.95</v>
      </c>
      <c r="E127" s="27" t="s">
        <v>69</v>
      </c>
    </row>
    <row r="128" customFormat="false" ht="15" hidden="false" customHeight="false" outlineLevel="0" collapsed="false">
      <c r="A128" s="23" t="s">
        <v>129</v>
      </c>
      <c r="B128" s="24" t="s">
        <v>94</v>
      </c>
      <c r="C128" s="25" t="n">
        <v>-1</v>
      </c>
      <c r="D128" s="26" t="n">
        <v>-39.95</v>
      </c>
      <c r="E128" s="27" t="s">
        <v>69</v>
      </c>
    </row>
    <row r="129" customFormat="false" ht="15" hidden="false" customHeight="false" outlineLevel="0" collapsed="false">
      <c r="A129" s="23" t="s">
        <v>130</v>
      </c>
      <c r="B129" s="24"/>
      <c r="C129" s="25" t="n">
        <v>1</v>
      </c>
      <c r="D129" s="26" t="n">
        <v>35.95</v>
      </c>
      <c r="E129" s="27" t="s">
        <v>25</v>
      </c>
    </row>
    <row r="130" customFormat="false" ht="15" hidden="false" customHeight="false" outlineLevel="0" collapsed="false">
      <c r="A130" s="23" t="s">
        <v>131</v>
      </c>
      <c r="B130" s="24"/>
      <c r="C130" s="25" t="n">
        <v>1</v>
      </c>
      <c r="D130" s="26" t="n">
        <v>26.99</v>
      </c>
      <c r="E130" s="27" t="s">
        <v>25</v>
      </c>
    </row>
    <row r="131" customFormat="false" ht="15" hidden="false" customHeight="false" outlineLevel="0" collapsed="false">
      <c r="A131" s="23" t="s">
        <v>131</v>
      </c>
      <c r="B131" s="24"/>
      <c r="C131" s="25" t="n">
        <v>1</v>
      </c>
      <c r="D131" s="26" t="n">
        <v>26.39</v>
      </c>
      <c r="E131" s="27" t="s">
        <v>71</v>
      </c>
    </row>
    <row r="132" customFormat="false" ht="15" hidden="false" customHeight="false" outlineLevel="0" collapsed="false">
      <c r="A132" s="23" t="s">
        <v>131</v>
      </c>
      <c r="B132" s="24"/>
      <c r="C132" s="25" t="n">
        <v>1</v>
      </c>
      <c r="D132" s="26" t="n">
        <v>28.01</v>
      </c>
      <c r="E132" s="27" t="s">
        <v>69</v>
      </c>
    </row>
    <row r="133" customFormat="false" ht="15" hidden="false" customHeight="false" outlineLevel="0" collapsed="false">
      <c r="A133" s="23" t="s">
        <v>132</v>
      </c>
      <c r="B133" s="24" t="s">
        <v>80</v>
      </c>
      <c r="C133" s="25" t="n">
        <v>6</v>
      </c>
      <c r="D133" s="26" t="n">
        <v>63</v>
      </c>
      <c r="E133" s="27" t="s">
        <v>85</v>
      </c>
    </row>
    <row r="134" customFormat="false" ht="15" hidden="false" customHeight="false" outlineLevel="0" collapsed="false">
      <c r="A134" s="23" t="s">
        <v>133</v>
      </c>
      <c r="B134" s="24" t="s">
        <v>80</v>
      </c>
      <c r="C134" s="25" t="n">
        <v>6</v>
      </c>
      <c r="D134" s="26" t="n">
        <v>58.24</v>
      </c>
      <c r="E134" s="27" t="s">
        <v>25</v>
      </c>
    </row>
    <row r="135" customFormat="false" ht="15" hidden="false" customHeight="false" outlineLevel="0" collapsed="false">
      <c r="A135" s="23" t="s">
        <v>134</v>
      </c>
      <c r="B135" s="24"/>
      <c r="C135" s="25" t="n">
        <v>1</v>
      </c>
      <c r="D135" s="26" t="n">
        <v>29.95</v>
      </c>
      <c r="E135" s="27" t="s">
        <v>25</v>
      </c>
    </row>
    <row r="136" customFormat="false" ht="15" hidden="false" customHeight="false" outlineLevel="0" collapsed="false">
      <c r="A136" s="23" t="s">
        <v>134</v>
      </c>
      <c r="B136" s="24"/>
      <c r="C136" s="25" t="n">
        <v>1</v>
      </c>
      <c r="D136" s="26" t="n">
        <v>29.95</v>
      </c>
      <c r="E136" s="27" t="s">
        <v>25</v>
      </c>
    </row>
    <row r="137" customFormat="false" ht="15" hidden="false" customHeight="false" outlineLevel="0" collapsed="false">
      <c r="A137" s="23" t="s">
        <v>134</v>
      </c>
      <c r="B137" s="24"/>
      <c r="C137" s="25" t="n">
        <v>1</v>
      </c>
      <c r="D137" s="26" t="n">
        <v>32.98</v>
      </c>
      <c r="E137" s="27" t="s">
        <v>71</v>
      </c>
    </row>
    <row r="138" customFormat="false" ht="15" hidden="false" customHeight="false" outlineLevel="0" collapsed="false">
      <c r="A138" s="23" t="s">
        <v>134</v>
      </c>
      <c r="B138" s="24" t="s">
        <v>114</v>
      </c>
      <c r="C138" s="25" t="n">
        <v>1</v>
      </c>
      <c r="D138" s="26"/>
      <c r="E138" s="27" t="s">
        <v>71</v>
      </c>
    </row>
    <row r="139" customFormat="false" ht="15" hidden="false" customHeight="false" outlineLevel="0" collapsed="false">
      <c r="A139" s="23" t="s">
        <v>134</v>
      </c>
      <c r="B139" s="24"/>
      <c r="C139" s="25" t="n">
        <v>1</v>
      </c>
      <c r="D139" s="26" t="n">
        <v>39.95</v>
      </c>
      <c r="E139" s="27" t="s">
        <v>69</v>
      </c>
    </row>
    <row r="140" customFormat="false" ht="15" hidden="false" customHeight="false" outlineLevel="0" collapsed="false">
      <c r="A140" s="23" t="s">
        <v>134</v>
      </c>
      <c r="B140" s="24"/>
      <c r="C140" s="25" t="n">
        <v>1</v>
      </c>
      <c r="D140" s="26" t="n">
        <v>39.95</v>
      </c>
      <c r="E140" s="27" t="s">
        <v>69</v>
      </c>
    </row>
    <row r="141" customFormat="false" ht="15" hidden="false" customHeight="false" outlineLevel="0" collapsed="false">
      <c r="A141" s="23" t="s">
        <v>135</v>
      </c>
      <c r="B141" s="24"/>
      <c r="C141" s="25" t="n">
        <v>1</v>
      </c>
      <c r="D141" s="26" t="n">
        <v>8.02</v>
      </c>
      <c r="E141" s="27" t="s">
        <v>25</v>
      </c>
    </row>
    <row r="142" customFormat="false" ht="15" hidden="false" customHeight="false" outlineLevel="0" collapsed="false">
      <c r="A142" s="23" t="s">
        <v>135</v>
      </c>
      <c r="B142" s="24"/>
      <c r="C142" s="25" t="n">
        <v>1</v>
      </c>
      <c r="D142" s="26" t="n">
        <v>8.02</v>
      </c>
      <c r="E142" s="27" t="s">
        <v>71</v>
      </c>
    </row>
    <row r="143" customFormat="false" ht="15" hidden="false" customHeight="false" outlineLevel="0" collapsed="false">
      <c r="A143" s="23" t="s">
        <v>136</v>
      </c>
      <c r="B143" s="24"/>
      <c r="C143" s="25" t="n">
        <v>1</v>
      </c>
      <c r="D143" s="26" t="n">
        <v>9.01</v>
      </c>
      <c r="E143" s="27" t="s">
        <v>25</v>
      </c>
    </row>
    <row r="144" customFormat="false" ht="15" hidden="false" customHeight="false" outlineLevel="0" collapsed="false">
      <c r="A144" s="23" t="s">
        <v>137</v>
      </c>
      <c r="B144" s="24" t="s">
        <v>68</v>
      </c>
      <c r="C144" s="25" t="n">
        <v>1</v>
      </c>
      <c r="D144" s="26" t="n">
        <v>10.09</v>
      </c>
      <c r="E144" s="27" t="s">
        <v>71</v>
      </c>
    </row>
    <row r="145" customFormat="false" ht="15" hidden="false" customHeight="false" outlineLevel="0" collapsed="false">
      <c r="A145" s="23" t="s">
        <v>137</v>
      </c>
      <c r="B145" s="24" t="s">
        <v>68</v>
      </c>
      <c r="C145" s="25" t="n">
        <v>1</v>
      </c>
      <c r="D145" s="26" t="n">
        <v>10.09</v>
      </c>
      <c r="E145" s="27" t="s">
        <v>71</v>
      </c>
    </row>
    <row r="146" customFormat="false" ht="15" hidden="false" customHeight="false" outlineLevel="0" collapsed="false">
      <c r="A146" s="23" t="s">
        <v>137</v>
      </c>
      <c r="B146" s="24" t="s">
        <v>68</v>
      </c>
      <c r="C146" s="25" t="n">
        <v>1</v>
      </c>
      <c r="D146" s="26" t="n">
        <v>11.98</v>
      </c>
      <c r="E146" s="27" t="s">
        <v>69</v>
      </c>
    </row>
    <row r="147" customFormat="false" ht="15" hidden="false" customHeight="false" outlineLevel="0" collapsed="false">
      <c r="A147" s="23" t="s">
        <v>137</v>
      </c>
      <c r="B147" s="24" t="s">
        <v>68</v>
      </c>
      <c r="C147" s="25" t="n">
        <v>1</v>
      </c>
      <c r="D147" s="26" t="n">
        <v>11.98</v>
      </c>
      <c r="E147" s="27" t="s">
        <v>69</v>
      </c>
    </row>
    <row r="148" customFormat="false" ht="15" hidden="false" customHeight="false" outlineLevel="0" collapsed="false">
      <c r="A148" s="23" t="s">
        <v>138</v>
      </c>
      <c r="B148" s="24" t="s">
        <v>78</v>
      </c>
      <c r="C148" s="25" t="n">
        <v>4</v>
      </c>
      <c r="D148" s="26" t="n">
        <v>24.93</v>
      </c>
      <c r="E148" s="27" t="s">
        <v>25</v>
      </c>
    </row>
    <row r="149" customFormat="false" ht="15" hidden="false" customHeight="false" outlineLevel="0" collapsed="false">
      <c r="A149" s="23" t="s">
        <v>138</v>
      </c>
      <c r="B149" s="24" t="s">
        <v>78</v>
      </c>
      <c r="C149" s="25" t="n">
        <v>4</v>
      </c>
      <c r="D149" s="26" t="n">
        <v>24.93</v>
      </c>
      <c r="E149" s="27" t="s">
        <v>25</v>
      </c>
    </row>
    <row r="150" customFormat="false" ht="15" hidden="false" customHeight="false" outlineLevel="0" collapsed="false">
      <c r="A150" s="23" t="s">
        <v>138</v>
      </c>
      <c r="B150" s="24" t="s">
        <v>78</v>
      </c>
      <c r="C150" s="25" t="n">
        <v>4</v>
      </c>
      <c r="D150" s="26" t="n">
        <v>19.8</v>
      </c>
      <c r="E150" s="27" t="s">
        <v>85</v>
      </c>
    </row>
    <row r="151" customFormat="false" ht="15" hidden="false" customHeight="false" outlineLevel="0" collapsed="false">
      <c r="A151" s="23" t="s">
        <v>138</v>
      </c>
      <c r="B151" s="24" t="s">
        <v>78</v>
      </c>
      <c r="C151" s="25" t="n">
        <v>4</v>
      </c>
      <c r="D151" s="26" t="n">
        <v>19.8</v>
      </c>
      <c r="E151" s="27" t="s">
        <v>85</v>
      </c>
    </row>
    <row r="152" customFormat="false" ht="15" hidden="false" customHeight="false" outlineLevel="0" collapsed="false">
      <c r="A152" s="23" t="s">
        <v>139</v>
      </c>
      <c r="B152" s="24" t="s">
        <v>76</v>
      </c>
      <c r="C152" s="25" t="n">
        <v>8</v>
      </c>
      <c r="D152" s="26" t="n">
        <v>18.95</v>
      </c>
      <c r="E152" s="27" t="s">
        <v>63</v>
      </c>
    </row>
    <row r="153" customFormat="false" ht="15" hidden="false" customHeight="false" outlineLevel="0" collapsed="false">
      <c r="A153" s="23" t="s">
        <v>139</v>
      </c>
      <c r="B153" s="24" t="s">
        <v>76</v>
      </c>
      <c r="C153" s="25" t="n">
        <v>8</v>
      </c>
      <c r="D153" s="26" t="n">
        <v>22.77</v>
      </c>
      <c r="E153" s="27" t="s">
        <v>25</v>
      </c>
    </row>
    <row r="154" customFormat="false" ht="15" hidden="false" customHeight="false" outlineLevel="0" collapsed="false">
      <c r="A154" s="23" t="s">
        <v>139</v>
      </c>
      <c r="B154" s="24" t="s">
        <v>76</v>
      </c>
      <c r="C154" s="25" t="n">
        <v>8</v>
      </c>
      <c r="D154" s="26" t="n">
        <v>22.95</v>
      </c>
      <c r="E154" s="27" t="s">
        <v>69</v>
      </c>
    </row>
    <row r="155" customFormat="false" ht="15" hidden="false" customHeight="false" outlineLevel="0" collapsed="false">
      <c r="A155" s="23" t="s">
        <v>140</v>
      </c>
      <c r="B155" s="24"/>
      <c r="C155" s="25" t="n">
        <v>1</v>
      </c>
      <c r="D155" s="26" t="n">
        <v>23.95</v>
      </c>
      <c r="E155" s="27" t="s">
        <v>33</v>
      </c>
    </row>
    <row r="156" customFormat="false" ht="15" hidden="false" customHeight="false" outlineLevel="0" collapsed="false">
      <c r="A156" s="23" t="s">
        <v>140</v>
      </c>
      <c r="B156" s="24"/>
      <c r="C156" s="25" t="n">
        <v>1</v>
      </c>
      <c r="D156" s="26" t="n">
        <v>23.95</v>
      </c>
      <c r="E156" s="27" t="s">
        <v>33</v>
      </c>
    </row>
    <row r="157" customFormat="false" ht="15" hidden="false" customHeight="false" outlineLevel="0" collapsed="false">
      <c r="A157" s="23" t="s">
        <v>140</v>
      </c>
      <c r="B157" s="24"/>
      <c r="C157" s="25" t="n">
        <v>1</v>
      </c>
      <c r="D157" s="26" t="n">
        <v>26.95</v>
      </c>
      <c r="E157" s="27" t="s">
        <v>69</v>
      </c>
    </row>
    <row r="158" customFormat="false" ht="15" hidden="false" customHeight="false" outlineLevel="0" collapsed="false">
      <c r="A158" s="23" t="s">
        <v>140</v>
      </c>
      <c r="B158" s="24"/>
      <c r="C158" s="25" t="n">
        <v>1</v>
      </c>
      <c r="D158" s="26" t="n">
        <v>26.95</v>
      </c>
      <c r="E158" s="27" t="s">
        <v>69</v>
      </c>
    </row>
    <row r="159" customFormat="false" ht="15" hidden="false" customHeight="false" outlineLevel="0" collapsed="false">
      <c r="A159" s="23" t="s">
        <v>141</v>
      </c>
      <c r="B159" s="24" t="s">
        <v>142</v>
      </c>
      <c r="C159" s="25" t="n">
        <v>1</v>
      </c>
      <c r="D159" s="26" t="n">
        <v>34.95</v>
      </c>
      <c r="E159" s="27" t="s">
        <v>85</v>
      </c>
    </row>
    <row r="160" customFormat="false" ht="15" hidden="false" customHeight="false" outlineLevel="0" collapsed="false">
      <c r="A160" s="23" t="s">
        <v>141</v>
      </c>
      <c r="B160" s="24" t="s">
        <v>143</v>
      </c>
      <c r="C160" s="25" t="n">
        <v>12</v>
      </c>
      <c r="D160" s="26" t="n">
        <v>34.95</v>
      </c>
      <c r="E160" s="27" t="s">
        <v>69</v>
      </c>
    </row>
    <row r="161" customFormat="false" ht="15" hidden="false" customHeight="false" outlineLevel="0" collapsed="false">
      <c r="A161" s="23" t="s">
        <v>144</v>
      </c>
      <c r="B161" s="24"/>
      <c r="C161" s="25" t="n">
        <v>1</v>
      </c>
      <c r="D161" s="26" t="n">
        <v>22.95</v>
      </c>
      <c r="E161" s="27" t="s">
        <v>33</v>
      </c>
    </row>
    <row r="162" customFormat="false" ht="15" hidden="false" customHeight="false" outlineLevel="0" collapsed="false">
      <c r="A162" s="23" t="s">
        <v>144</v>
      </c>
      <c r="B162" s="24"/>
      <c r="C162" s="25" t="n">
        <v>1</v>
      </c>
      <c r="D162" s="26" t="n">
        <v>24.95</v>
      </c>
      <c r="E162" s="27" t="s">
        <v>69</v>
      </c>
    </row>
    <row r="163" customFormat="false" ht="15" hidden="false" customHeight="false" outlineLevel="0" collapsed="false">
      <c r="A163" s="23" t="s">
        <v>145</v>
      </c>
      <c r="B163" s="24" t="s">
        <v>68</v>
      </c>
      <c r="C163" s="25" t="n">
        <v>1</v>
      </c>
      <c r="D163" s="26" t="n">
        <v>7.81</v>
      </c>
      <c r="E163" s="27" t="s">
        <v>85</v>
      </c>
    </row>
    <row r="164" customFormat="false" ht="15" hidden="false" customHeight="false" outlineLevel="0" collapsed="false">
      <c r="A164" s="23" t="s">
        <v>145</v>
      </c>
      <c r="B164" s="24" t="s">
        <v>68</v>
      </c>
      <c r="C164" s="25" t="n">
        <v>1</v>
      </c>
      <c r="D164" s="26" t="n">
        <v>7.81</v>
      </c>
      <c r="E164" s="27" t="s">
        <v>85</v>
      </c>
    </row>
    <row r="165" customFormat="false" ht="15" hidden="false" customHeight="false" outlineLevel="0" collapsed="false">
      <c r="A165" s="23" t="s">
        <v>145</v>
      </c>
      <c r="B165" s="24" t="s">
        <v>68</v>
      </c>
      <c r="C165" s="25" t="n">
        <v>1</v>
      </c>
      <c r="D165" s="26" t="n">
        <v>7.81</v>
      </c>
      <c r="E165" s="27" t="s">
        <v>85</v>
      </c>
    </row>
    <row r="166" customFormat="false" ht="15" hidden="false" customHeight="false" outlineLevel="0" collapsed="false">
      <c r="A166" s="23" t="s">
        <v>145</v>
      </c>
      <c r="B166" s="24" t="s">
        <v>68</v>
      </c>
      <c r="C166" s="25" t="n">
        <v>1</v>
      </c>
      <c r="D166" s="26" t="n">
        <v>7.81</v>
      </c>
      <c r="E166" s="27" t="s">
        <v>85</v>
      </c>
    </row>
    <row r="167" customFormat="false" ht="15" hidden="false" customHeight="false" outlineLevel="0" collapsed="false">
      <c r="A167" s="23" t="s">
        <v>145</v>
      </c>
      <c r="B167" s="24" t="s">
        <v>68</v>
      </c>
      <c r="C167" s="25" t="n">
        <v>1</v>
      </c>
      <c r="D167" s="26" t="n">
        <v>7.81</v>
      </c>
      <c r="E167" s="27" t="s">
        <v>71</v>
      </c>
    </row>
    <row r="168" customFormat="false" ht="15" hidden="false" customHeight="false" outlineLevel="0" collapsed="false">
      <c r="A168" s="23" t="s">
        <v>145</v>
      </c>
      <c r="B168" s="24" t="s">
        <v>68</v>
      </c>
      <c r="C168" s="25" t="n">
        <v>1</v>
      </c>
      <c r="D168" s="26" t="n">
        <v>7.81</v>
      </c>
      <c r="E168" s="27" t="s">
        <v>71</v>
      </c>
    </row>
    <row r="169" customFormat="false" ht="15" hidden="false" customHeight="false" outlineLevel="0" collapsed="false">
      <c r="A169" s="23" t="s">
        <v>145</v>
      </c>
      <c r="B169" s="24" t="s">
        <v>68</v>
      </c>
      <c r="C169" s="25" t="n">
        <v>1</v>
      </c>
      <c r="D169" s="26" t="n">
        <v>7.81</v>
      </c>
      <c r="E169" s="27" t="s">
        <v>71</v>
      </c>
    </row>
    <row r="170" customFormat="false" ht="15" hidden="false" customHeight="false" outlineLevel="0" collapsed="false">
      <c r="A170" s="23" t="s">
        <v>145</v>
      </c>
      <c r="B170" s="24" t="s">
        <v>68</v>
      </c>
      <c r="C170" s="25" t="n">
        <v>1</v>
      </c>
      <c r="D170" s="26" t="n">
        <v>7.81</v>
      </c>
      <c r="E170" s="27" t="s">
        <v>71</v>
      </c>
    </row>
    <row r="171" customFormat="false" ht="15" hidden="false" customHeight="false" outlineLevel="0" collapsed="false">
      <c r="A171" s="23" t="s">
        <v>145</v>
      </c>
      <c r="B171" s="24" t="s">
        <v>68</v>
      </c>
      <c r="C171" s="25" t="n">
        <v>1</v>
      </c>
      <c r="D171" s="26" t="n">
        <v>7.81</v>
      </c>
      <c r="E171" s="27" t="s">
        <v>71</v>
      </c>
    </row>
    <row r="172" customFormat="false" ht="15" hidden="false" customHeight="false" outlineLevel="0" collapsed="false">
      <c r="A172" s="23" t="s">
        <v>146</v>
      </c>
      <c r="B172" s="24" t="s">
        <v>68</v>
      </c>
      <c r="C172" s="25" t="n">
        <v>1</v>
      </c>
      <c r="D172" s="26" t="n">
        <v>9.21</v>
      </c>
      <c r="E172" s="27" t="s">
        <v>25</v>
      </c>
    </row>
    <row r="173" customFormat="false" ht="15" hidden="false" customHeight="false" outlineLevel="0" collapsed="false">
      <c r="A173" s="23" t="s">
        <v>146</v>
      </c>
      <c r="B173" s="24" t="s">
        <v>68</v>
      </c>
      <c r="C173" s="25" t="n">
        <v>1</v>
      </c>
      <c r="D173" s="26" t="n">
        <v>7.94</v>
      </c>
      <c r="E173" s="27" t="s">
        <v>69</v>
      </c>
    </row>
    <row r="174" customFormat="false" ht="15" hidden="false" customHeight="false" outlineLevel="0" collapsed="false">
      <c r="A174" s="28" t="s">
        <v>147</v>
      </c>
      <c r="B174" s="28"/>
      <c r="C174" s="28"/>
      <c r="D174" s="29" t="n">
        <f aca="false">SUM(D68:D173)</f>
        <v>2004.19</v>
      </c>
      <c r="E174" s="30"/>
    </row>
    <row r="176" customFormat="false" ht="15" hidden="false" customHeight="false" outlineLevel="0" collapsed="false">
      <c r="A176" s="33" t="s">
        <v>148</v>
      </c>
      <c r="B176" s="33"/>
      <c r="C176" s="33"/>
      <c r="D176" s="33"/>
      <c r="E176" s="33"/>
    </row>
    <row r="177" customFormat="false" ht="15" hidden="false" customHeight="false" outlineLevel="0" collapsed="false">
      <c r="A177" s="21" t="s">
        <v>19</v>
      </c>
      <c r="B177" s="21" t="s">
        <v>20</v>
      </c>
      <c r="C177" s="22" t="s">
        <v>21</v>
      </c>
      <c r="D177" s="22" t="s">
        <v>22</v>
      </c>
      <c r="E177" s="21" t="s">
        <v>23</v>
      </c>
    </row>
    <row r="178" customFormat="false" ht="15" hidden="false" customHeight="false" outlineLevel="0" collapsed="false">
      <c r="A178" s="23" t="s">
        <v>149</v>
      </c>
      <c r="B178" s="24" t="s">
        <v>150</v>
      </c>
      <c r="C178" s="25" t="n">
        <v>36</v>
      </c>
      <c r="D178" s="26" t="n">
        <v>93</v>
      </c>
      <c r="E178" s="27" t="s">
        <v>63</v>
      </c>
    </row>
    <row r="179" customFormat="false" ht="15" hidden="false" customHeight="false" outlineLevel="0" collapsed="false">
      <c r="A179" s="23" t="s">
        <v>151</v>
      </c>
      <c r="B179" s="24" t="s">
        <v>143</v>
      </c>
      <c r="C179" s="25" t="n">
        <v>12</v>
      </c>
      <c r="D179" s="26" t="n">
        <v>27.2</v>
      </c>
      <c r="E179" s="27" t="s">
        <v>50</v>
      </c>
    </row>
    <row r="180" customFormat="false" ht="15" hidden="false" customHeight="false" outlineLevel="0" collapsed="false">
      <c r="A180" s="23" t="s">
        <v>152</v>
      </c>
      <c r="B180" s="24" t="s">
        <v>153</v>
      </c>
      <c r="C180" s="25" t="n">
        <v>1</v>
      </c>
      <c r="D180" s="26" t="n">
        <v>16.89</v>
      </c>
      <c r="E180" s="27" t="s">
        <v>50</v>
      </c>
    </row>
    <row r="181" customFormat="false" ht="15" hidden="false" customHeight="false" outlineLevel="0" collapsed="false">
      <c r="A181" s="23" t="s">
        <v>154</v>
      </c>
      <c r="B181" s="24" t="s">
        <v>80</v>
      </c>
      <c r="C181" s="25" t="n">
        <v>6</v>
      </c>
      <c r="D181" s="26" t="n">
        <v>21.82</v>
      </c>
      <c r="E181" s="27" t="s">
        <v>50</v>
      </c>
    </row>
    <row r="182" customFormat="false" ht="15" hidden="false" customHeight="false" outlineLevel="0" collapsed="false">
      <c r="A182" s="23" t="s">
        <v>155</v>
      </c>
      <c r="B182" s="24" t="s">
        <v>68</v>
      </c>
      <c r="C182" s="25" t="n">
        <v>1</v>
      </c>
      <c r="D182" s="26" t="n">
        <v>3.04</v>
      </c>
      <c r="E182" s="27" t="s">
        <v>63</v>
      </c>
    </row>
    <row r="183" customFormat="false" ht="15" hidden="false" customHeight="false" outlineLevel="0" collapsed="false">
      <c r="A183" s="23" t="s">
        <v>156</v>
      </c>
      <c r="B183" s="24" t="s">
        <v>114</v>
      </c>
      <c r="C183" s="25" t="n">
        <v>1</v>
      </c>
      <c r="D183" s="26"/>
      <c r="E183" s="27" t="s">
        <v>71</v>
      </c>
    </row>
    <row r="184" customFormat="false" ht="15" hidden="false" customHeight="false" outlineLevel="0" collapsed="false">
      <c r="A184" s="28" t="s">
        <v>157</v>
      </c>
      <c r="B184" s="28"/>
      <c r="C184" s="28"/>
      <c r="D184" s="29" t="n">
        <f aca="false">SUM(D178:D183)</f>
        <v>161.95</v>
      </c>
      <c r="E184" s="30"/>
    </row>
    <row r="186" customFormat="false" ht="15" hidden="false" customHeight="false" outlineLevel="0" collapsed="false">
      <c r="A186" s="34" t="s">
        <v>158</v>
      </c>
      <c r="B186" s="34"/>
      <c r="C186" s="34"/>
      <c r="D186" s="34"/>
      <c r="E186" s="34"/>
    </row>
    <row r="187" customFormat="false" ht="15" hidden="false" customHeight="false" outlineLevel="0" collapsed="false">
      <c r="A187" s="21" t="s">
        <v>19</v>
      </c>
      <c r="B187" s="21" t="s">
        <v>20</v>
      </c>
      <c r="C187" s="22" t="s">
        <v>21</v>
      </c>
      <c r="D187" s="22" t="s">
        <v>22</v>
      </c>
      <c r="E187" s="21" t="s">
        <v>23</v>
      </c>
    </row>
    <row r="188" customFormat="false" ht="15" hidden="false" customHeight="false" outlineLevel="0" collapsed="false">
      <c r="A188" s="23" t="s">
        <v>159</v>
      </c>
      <c r="B188" s="24" t="s">
        <v>160</v>
      </c>
      <c r="C188" s="25" t="n">
        <v>1</v>
      </c>
      <c r="D188" s="26" t="n">
        <v>21.01</v>
      </c>
      <c r="E188" s="27" t="s">
        <v>63</v>
      </c>
    </row>
    <row r="189" customFormat="false" ht="15" hidden="false" customHeight="false" outlineLevel="0" collapsed="false">
      <c r="A189" s="23" t="s">
        <v>161</v>
      </c>
      <c r="B189" s="24" t="s">
        <v>68</v>
      </c>
      <c r="C189" s="25" t="n">
        <v>1</v>
      </c>
      <c r="D189" s="26" t="n">
        <v>33.05</v>
      </c>
      <c r="E189" s="27" t="s">
        <v>63</v>
      </c>
    </row>
    <row r="190" customFormat="false" ht="15" hidden="false" customHeight="false" outlineLevel="0" collapsed="false">
      <c r="A190" s="23" t="s">
        <v>162</v>
      </c>
      <c r="B190" s="24" t="s">
        <v>68</v>
      </c>
      <c r="C190" s="25" t="n">
        <v>1</v>
      </c>
      <c r="D190" s="26" t="n">
        <v>28.85</v>
      </c>
      <c r="E190" s="27" t="s">
        <v>63</v>
      </c>
    </row>
    <row r="191" customFormat="false" ht="15" hidden="false" customHeight="false" outlineLevel="0" collapsed="false">
      <c r="A191" s="23" t="s">
        <v>163</v>
      </c>
      <c r="B191" s="24" t="s">
        <v>68</v>
      </c>
      <c r="C191" s="25" t="n">
        <v>1</v>
      </c>
      <c r="D191" s="26" t="n">
        <v>2.19</v>
      </c>
      <c r="E191" s="27" t="s">
        <v>25</v>
      </c>
    </row>
    <row r="192" customFormat="false" ht="15" hidden="false" customHeight="false" outlineLevel="0" collapsed="false">
      <c r="A192" s="23" t="s">
        <v>164</v>
      </c>
      <c r="B192" s="24" t="s">
        <v>68</v>
      </c>
      <c r="C192" s="25" t="n">
        <v>1</v>
      </c>
      <c r="D192" s="26" t="n">
        <v>5.02</v>
      </c>
      <c r="E192" s="27" t="s">
        <v>33</v>
      </c>
    </row>
    <row r="193" customFormat="false" ht="15" hidden="false" customHeight="false" outlineLevel="0" collapsed="false">
      <c r="A193" s="23" t="s">
        <v>164</v>
      </c>
      <c r="B193" s="24" t="s">
        <v>68</v>
      </c>
      <c r="C193" s="25" t="n">
        <v>1</v>
      </c>
      <c r="D193" s="26" t="n">
        <v>5.02</v>
      </c>
      <c r="E193" s="27" t="s">
        <v>33</v>
      </c>
    </row>
    <row r="194" customFormat="false" ht="15" hidden="false" customHeight="false" outlineLevel="0" collapsed="false">
      <c r="A194" s="23" t="s">
        <v>164</v>
      </c>
      <c r="B194" s="24" t="s">
        <v>68</v>
      </c>
      <c r="C194" s="25" t="n">
        <v>1</v>
      </c>
      <c r="D194" s="26" t="n">
        <v>5.02</v>
      </c>
      <c r="E194" s="27" t="s">
        <v>25</v>
      </c>
    </row>
    <row r="195" customFormat="false" ht="15" hidden="false" customHeight="false" outlineLevel="0" collapsed="false">
      <c r="A195" s="23" t="s">
        <v>165</v>
      </c>
      <c r="B195" s="24" t="s">
        <v>68</v>
      </c>
      <c r="C195" s="25" t="n">
        <v>1</v>
      </c>
      <c r="D195" s="26" t="n">
        <v>24.32</v>
      </c>
      <c r="E195" s="27" t="s">
        <v>63</v>
      </c>
    </row>
    <row r="196" customFormat="false" ht="15" hidden="false" customHeight="false" outlineLevel="0" collapsed="false">
      <c r="A196" s="23" t="s">
        <v>165</v>
      </c>
      <c r="B196" s="24" t="s">
        <v>68</v>
      </c>
      <c r="C196" s="25" t="n">
        <v>1</v>
      </c>
      <c r="D196" s="26" t="n">
        <v>24.32</v>
      </c>
      <c r="E196" s="27" t="s">
        <v>63</v>
      </c>
    </row>
    <row r="197" customFormat="false" ht="15" hidden="false" customHeight="false" outlineLevel="0" collapsed="false">
      <c r="A197" s="28" t="s">
        <v>166</v>
      </c>
      <c r="B197" s="28"/>
      <c r="C197" s="28"/>
      <c r="D197" s="29" t="n">
        <f aca="false">SUM(D188:D196)</f>
        <v>148.8</v>
      </c>
      <c r="E197" s="30"/>
    </row>
    <row r="199" customFormat="false" ht="15" hidden="false" customHeight="false" outlineLevel="0" collapsed="false">
      <c r="A199" s="35" t="s">
        <v>167</v>
      </c>
      <c r="B199" s="35"/>
      <c r="C199" s="35"/>
      <c r="D199" s="35"/>
      <c r="E199" s="35"/>
    </row>
    <row r="200" customFormat="false" ht="15" hidden="false" customHeight="false" outlineLevel="0" collapsed="false">
      <c r="A200" s="21" t="s">
        <v>19</v>
      </c>
      <c r="B200" s="21" t="s">
        <v>20</v>
      </c>
      <c r="C200" s="22" t="s">
        <v>21</v>
      </c>
      <c r="D200" s="22" t="s">
        <v>22</v>
      </c>
      <c r="E200" s="21" t="s">
        <v>23</v>
      </c>
    </row>
    <row r="201" customFormat="false" ht="15" hidden="false" customHeight="false" outlineLevel="0" collapsed="false">
      <c r="A201" s="23" t="s">
        <v>168</v>
      </c>
      <c r="B201" s="24" t="s">
        <v>169</v>
      </c>
      <c r="C201" s="25" t="n">
        <v>1</v>
      </c>
      <c r="D201" s="26" t="n">
        <v>18</v>
      </c>
      <c r="E201" s="27" t="s">
        <v>170</v>
      </c>
    </row>
    <row r="202" customFormat="false" ht="15" hidden="false" customHeight="false" outlineLevel="0" collapsed="false">
      <c r="A202" s="23" t="s">
        <v>168</v>
      </c>
      <c r="B202" s="24" t="s">
        <v>169</v>
      </c>
      <c r="C202" s="25" t="n">
        <v>1</v>
      </c>
      <c r="D202" s="26" t="n">
        <v>18</v>
      </c>
      <c r="E202" s="27" t="s">
        <v>170</v>
      </c>
    </row>
    <row r="203" customFormat="false" ht="15" hidden="false" customHeight="false" outlineLevel="0" collapsed="false">
      <c r="A203" s="23" t="s">
        <v>171</v>
      </c>
      <c r="B203" s="24" t="s">
        <v>172</v>
      </c>
      <c r="C203" s="25" t="n">
        <v>1</v>
      </c>
      <c r="D203" s="26" t="n">
        <v>12.53</v>
      </c>
      <c r="E203" s="27" t="s">
        <v>170</v>
      </c>
    </row>
    <row r="204" customFormat="false" ht="15" hidden="false" customHeight="false" outlineLevel="0" collapsed="false">
      <c r="A204" s="23" t="s">
        <v>173</v>
      </c>
      <c r="B204" s="24" t="s">
        <v>172</v>
      </c>
      <c r="C204" s="25" t="n">
        <v>1</v>
      </c>
      <c r="D204" s="26" t="n">
        <v>32.91</v>
      </c>
      <c r="E204" s="27" t="s">
        <v>170</v>
      </c>
    </row>
    <row r="205" customFormat="false" ht="15" hidden="false" customHeight="false" outlineLevel="0" collapsed="false">
      <c r="A205" s="23" t="s">
        <v>173</v>
      </c>
      <c r="B205" s="24" t="s">
        <v>174</v>
      </c>
      <c r="C205" s="25" t="n">
        <v>1</v>
      </c>
      <c r="D205" s="26" t="n">
        <v>32.39</v>
      </c>
      <c r="E205" s="27" t="s">
        <v>175</v>
      </c>
    </row>
    <row r="206" customFormat="false" ht="15" hidden="false" customHeight="false" outlineLevel="0" collapsed="false">
      <c r="A206" s="23" t="s">
        <v>173</v>
      </c>
      <c r="B206" s="24" t="s">
        <v>174</v>
      </c>
      <c r="C206" s="25" t="n">
        <v>1</v>
      </c>
      <c r="D206" s="26" t="n">
        <v>32.39</v>
      </c>
      <c r="E206" s="27" t="s">
        <v>175</v>
      </c>
    </row>
    <row r="207" customFormat="false" ht="15" hidden="false" customHeight="false" outlineLevel="0" collapsed="false">
      <c r="A207" s="23" t="s">
        <v>176</v>
      </c>
      <c r="B207" s="24" t="s">
        <v>177</v>
      </c>
      <c r="C207" s="25" t="n">
        <v>1</v>
      </c>
      <c r="D207" s="26" t="n">
        <v>13.77</v>
      </c>
      <c r="E207" s="27" t="s">
        <v>178</v>
      </c>
    </row>
    <row r="208" customFormat="false" ht="15" hidden="false" customHeight="false" outlineLevel="0" collapsed="false">
      <c r="A208" s="23" t="s">
        <v>179</v>
      </c>
      <c r="B208" s="24" t="s">
        <v>180</v>
      </c>
      <c r="C208" s="25" t="n">
        <v>1</v>
      </c>
      <c r="D208" s="26" t="n">
        <v>16.86</v>
      </c>
      <c r="E208" s="27" t="s">
        <v>181</v>
      </c>
    </row>
    <row r="209" customFormat="false" ht="15" hidden="false" customHeight="false" outlineLevel="0" collapsed="false">
      <c r="A209" s="23" t="s">
        <v>179</v>
      </c>
      <c r="B209" s="24" t="s">
        <v>180</v>
      </c>
      <c r="C209" s="25" t="n">
        <v>1</v>
      </c>
      <c r="D209" s="26" t="n">
        <v>16.86</v>
      </c>
      <c r="E209" s="27" t="s">
        <v>170</v>
      </c>
    </row>
    <row r="210" customFormat="false" ht="15" hidden="false" customHeight="false" outlineLevel="0" collapsed="false">
      <c r="A210" s="23" t="s">
        <v>182</v>
      </c>
      <c r="B210" s="24" t="s">
        <v>183</v>
      </c>
      <c r="C210" s="25"/>
      <c r="D210" s="26" t="n">
        <v>-1</v>
      </c>
      <c r="E210" s="27" t="s">
        <v>63</v>
      </c>
    </row>
    <row r="211" customFormat="false" ht="15" hidden="false" customHeight="false" outlineLevel="0" collapsed="false">
      <c r="A211" s="23" t="s">
        <v>184</v>
      </c>
      <c r="B211" s="24"/>
      <c r="C211" s="25" t="n">
        <v>1</v>
      </c>
      <c r="D211" s="26" t="n">
        <v>15.56</v>
      </c>
      <c r="E211" s="27" t="s">
        <v>63</v>
      </c>
    </row>
    <row r="212" customFormat="false" ht="15" hidden="false" customHeight="false" outlineLevel="0" collapsed="false">
      <c r="A212" s="23" t="s">
        <v>185</v>
      </c>
      <c r="B212" s="24" t="s">
        <v>186</v>
      </c>
      <c r="C212" s="25" t="n">
        <v>1</v>
      </c>
      <c r="D212" s="26" t="n">
        <v>18.29</v>
      </c>
      <c r="E212" s="27" t="s">
        <v>178</v>
      </c>
    </row>
    <row r="213" customFormat="false" ht="15" hidden="false" customHeight="false" outlineLevel="0" collapsed="false">
      <c r="A213" s="23" t="s">
        <v>187</v>
      </c>
      <c r="B213" s="24" t="s">
        <v>80</v>
      </c>
      <c r="C213" s="25" t="n">
        <v>6</v>
      </c>
      <c r="D213" s="26" t="n">
        <v>20.38</v>
      </c>
      <c r="E213" s="27" t="s">
        <v>33</v>
      </c>
    </row>
    <row r="214" customFormat="false" ht="15" hidden="false" customHeight="false" outlineLevel="0" collapsed="false">
      <c r="A214" s="23" t="s">
        <v>187</v>
      </c>
      <c r="B214" s="24" t="s">
        <v>80</v>
      </c>
      <c r="C214" s="25" t="n">
        <v>6</v>
      </c>
      <c r="D214" s="26" t="n">
        <v>20.38</v>
      </c>
      <c r="E214" s="27" t="s">
        <v>33</v>
      </c>
    </row>
    <row r="215" customFormat="false" ht="15" hidden="false" customHeight="false" outlineLevel="0" collapsed="false">
      <c r="A215" s="23" t="s">
        <v>187</v>
      </c>
      <c r="B215" s="24" t="s">
        <v>80</v>
      </c>
      <c r="C215" s="25" t="n">
        <v>6</v>
      </c>
      <c r="D215" s="26" t="n">
        <v>20.38</v>
      </c>
      <c r="E215" s="27" t="s">
        <v>33</v>
      </c>
    </row>
    <row r="216" customFormat="false" ht="15" hidden="false" customHeight="false" outlineLevel="0" collapsed="false">
      <c r="A216" s="23" t="s">
        <v>187</v>
      </c>
      <c r="B216" s="24" t="s">
        <v>80</v>
      </c>
      <c r="C216" s="25" t="n">
        <v>6</v>
      </c>
      <c r="D216" s="26" t="n">
        <v>20.38</v>
      </c>
      <c r="E216" s="27" t="s">
        <v>33</v>
      </c>
    </row>
    <row r="217" customFormat="false" ht="15" hidden="false" customHeight="false" outlineLevel="0" collapsed="false">
      <c r="A217" s="23" t="s">
        <v>188</v>
      </c>
      <c r="B217" s="24" t="s">
        <v>80</v>
      </c>
      <c r="C217" s="25" t="n">
        <v>6</v>
      </c>
      <c r="D217" s="26" t="n">
        <v>20.23</v>
      </c>
      <c r="E217" s="27" t="s">
        <v>28</v>
      </c>
    </row>
    <row r="218" customFormat="false" ht="15" hidden="false" customHeight="false" outlineLevel="0" collapsed="false">
      <c r="A218" s="23" t="s">
        <v>189</v>
      </c>
      <c r="B218" s="24" t="s">
        <v>80</v>
      </c>
      <c r="C218" s="25" t="n">
        <v>6</v>
      </c>
      <c r="D218" s="26" t="n">
        <v>20.31</v>
      </c>
      <c r="E218" s="27" t="s">
        <v>33</v>
      </c>
    </row>
    <row r="219" customFormat="false" ht="15" hidden="false" customHeight="false" outlineLevel="0" collapsed="false">
      <c r="A219" s="23" t="s">
        <v>189</v>
      </c>
      <c r="B219" s="24" t="s">
        <v>80</v>
      </c>
      <c r="C219" s="25" t="n">
        <v>6</v>
      </c>
      <c r="D219" s="26" t="n">
        <v>20.31</v>
      </c>
      <c r="E219" s="27" t="s">
        <v>33</v>
      </c>
    </row>
    <row r="220" customFormat="false" ht="15" hidden="false" customHeight="false" outlineLevel="0" collapsed="false">
      <c r="A220" s="23" t="s">
        <v>190</v>
      </c>
      <c r="B220" s="24" t="s">
        <v>191</v>
      </c>
      <c r="C220" s="25" t="n">
        <v>1</v>
      </c>
      <c r="D220" s="26" t="n">
        <v>23.4</v>
      </c>
      <c r="E220" s="27" t="s">
        <v>181</v>
      </c>
    </row>
    <row r="221" customFormat="false" ht="15" hidden="false" customHeight="false" outlineLevel="0" collapsed="false">
      <c r="A221" s="28" t="s">
        <v>192</v>
      </c>
      <c r="B221" s="28"/>
      <c r="C221" s="28"/>
      <c r="D221" s="29" t="n">
        <f aca="false">SUM(D201:D220)</f>
        <v>392.33</v>
      </c>
      <c r="E221" s="30"/>
    </row>
    <row r="223" customFormat="false" ht="15" hidden="false" customHeight="false" outlineLevel="0" collapsed="false">
      <c r="A223" s="36" t="s">
        <v>193</v>
      </c>
      <c r="B223" s="36"/>
      <c r="C223" s="36"/>
      <c r="D223" s="36"/>
      <c r="E223" s="36"/>
    </row>
    <row r="224" customFormat="false" ht="15" hidden="false" customHeight="false" outlineLevel="0" collapsed="false">
      <c r="A224" s="21" t="s">
        <v>19</v>
      </c>
      <c r="B224" s="21" t="s">
        <v>20</v>
      </c>
      <c r="C224" s="22" t="s">
        <v>21</v>
      </c>
      <c r="D224" s="22" t="s">
        <v>22</v>
      </c>
      <c r="E224" s="21" t="s">
        <v>23</v>
      </c>
    </row>
    <row r="225" customFormat="false" ht="15" hidden="false" customHeight="false" outlineLevel="0" collapsed="false">
      <c r="A225" s="23" t="s">
        <v>194</v>
      </c>
      <c r="B225" s="24" t="s">
        <v>80</v>
      </c>
      <c r="C225" s="25" t="n">
        <v>6</v>
      </c>
      <c r="D225" s="26" t="n">
        <v>31.43</v>
      </c>
      <c r="E225" s="27" t="s">
        <v>181</v>
      </c>
    </row>
    <row r="226" customFormat="false" ht="15" hidden="false" customHeight="false" outlineLevel="0" collapsed="false">
      <c r="A226" s="23" t="s">
        <v>194</v>
      </c>
      <c r="B226" s="24" t="s">
        <v>80</v>
      </c>
      <c r="C226" s="25" t="n">
        <v>6</v>
      </c>
      <c r="D226" s="26" t="n">
        <v>31.2</v>
      </c>
      <c r="E226" s="27" t="s">
        <v>170</v>
      </c>
    </row>
    <row r="227" customFormat="false" ht="15" hidden="false" customHeight="false" outlineLevel="0" collapsed="false">
      <c r="A227" s="23" t="s">
        <v>195</v>
      </c>
      <c r="B227" s="24" t="s">
        <v>80</v>
      </c>
      <c r="C227" s="25" t="n">
        <v>6</v>
      </c>
      <c r="D227" s="26" t="n">
        <v>47.82</v>
      </c>
      <c r="E227" s="27" t="s">
        <v>121</v>
      </c>
    </row>
    <row r="228" customFormat="false" ht="15" hidden="false" customHeight="false" outlineLevel="0" collapsed="false">
      <c r="A228" s="23" t="s">
        <v>196</v>
      </c>
      <c r="B228" s="24" t="s">
        <v>80</v>
      </c>
      <c r="C228" s="25" t="n">
        <v>6</v>
      </c>
      <c r="D228" s="26" t="n">
        <v>27.78</v>
      </c>
      <c r="E228" s="27" t="s">
        <v>121</v>
      </c>
    </row>
    <row r="229" customFormat="false" ht="15" hidden="false" customHeight="false" outlineLevel="0" collapsed="false">
      <c r="A229" s="23" t="s">
        <v>197</v>
      </c>
      <c r="B229" s="24" t="s">
        <v>68</v>
      </c>
      <c r="C229" s="25" t="n">
        <v>1</v>
      </c>
      <c r="D229" s="26" t="n">
        <v>14.85</v>
      </c>
      <c r="E229" s="27" t="s">
        <v>170</v>
      </c>
    </row>
    <row r="230" customFormat="false" ht="15" hidden="false" customHeight="false" outlineLevel="0" collapsed="false">
      <c r="A230" s="23" t="s">
        <v>198</v>
      </c>
      <c r="B230" s="24" t="s">
        <v>78</v>
      </c>
      <c r="C230" s="25" t="n">
        <v>4</v>
      </c>
      <c r="D230" s="26" t="n">
        <v>62.22</v>
      </c>
      <c r="E230" s="27" t="s">
        <v>63</v>
      </c>
    </row>
    <row r="231" customFormat="false" ht="15" hidden="false" customHeight="false" outlineLevel="0" collapsed="false">
      <c r="A231" s="23" t="s">
        <v>198</v>
      </c>
      <c r="B231" s="24" t="s">
        <v>78</v>
      </c>
      <c r="C231" s="25" t="n">
        <v>4</v>
      </c>
      <c r="D231" s="26" t="n">
        <v>62.22</v>
      </c>
      <c r="E231" s="27" t="s">
        <v>63</v>
      </c>
    </row>
    <row r="232" customFormat="false" ht="15" hidden="false" customHeight="false" outlineLevel="0" collapsed="false">
      <c r="A232" s="23" t="s">
        <v>199</v>
      </c>
      <c r="B232" s="24" t="s">
        <v>58</v>
      </c>
      <c r="C232" s="25" t="n">
        <v>2</v>
      </c>
      <c r="D232" s="26" t="n">
        <v>45.7</v>
      </c>
      <c r="E232" s="27" t="s">
        <v>200</v>
      </c>
    </row>
    <row r="233" customFormat="false" ht="15" hidden="false" customHeight="false" outlineLevel="0" collapsed="false">
      <c r="A233" s="23" t="s">
        <v>199</v>
      </c>
      <c r="B233" s="24" t="s">
        <v>58</v>
      </c>
      <c r="C233" s="25" t="n">
        <v>2</v>
      </c>
      <c r="D233" s="26" t="n">
        <v>45.7</v>
      </c>
      <c r="E233" s="27" t="s">
        <v>178</v>
      </c>
    </row>
    <row r="234" customFormat="false" ht="15" hidden="false" customHeight="false" outlineLevel="0" collapsed="false">
      <c r="A234" s="23" t="s">
        <v>201</v>
      </c>
      <c r="B234" s="24" t="s">
        <v>68</v>
      </c>
      <c r="C234" s="25" t="n">
        <v>1</v>
      </c>
      <c r="D234" s="26" t="n">
        <v>12.3</v>
      </c>
      <c r="E234" s="27" t="s">
        <v>170</v>
      </c>
    </row>
    <row r="235" customFormat="false" ht="15" hidden="false" customHeight="false" outlineLevel="0" collapsed="false">
      <c r="A235" s="23" t="s">
        <v>202</v>
      </c>
      <c r="B235" s="24" t="s">
        <v>80</v>
      </c>
      <c r="C235" s="25" t="n">
        <v>6</v>
      </c>
      <c r="D235" s="26" t="n">
        <v>62.42</v>
      </c>
      <c r="E235" s="27" t="s">
        <v>178</v>
      </c>
    </row>
    <row r="236" customFormat="false" ht="15" hidden="false" customHeight="false" outlineLevel="0" collapsed="false">
      <c r="A236" s="23" t="s">
        <v>203</v>
      </c>
      <c r="B236" s="24" t="s">
        <v>80</v>
      </c>
      <c r="C236" s="25" t="n">
        <v>6</v>
      </c>
      <c r="D236" s="26" t="n">
        <v>46.96</v>
      </c>
      <c r="E236" s="27" t="s">
        <v>178</v>
      </c>
    </row>
    <row r="237" customFormat="false" ht="15" hidden="false" customHeight="false" outlineLevel="0" collapsed="false">
      <c r="A237" s="23" t="s">
        <v>204</v>
      </c>
      <c r="B237" s="24" t="s">
        <v>80</v>
      </c>
      <c r="C237" s="25" t="n">
        <v>6</v>
      </c>
      <c r="D237" s="26" t="n">
        <v>35.8</v>
      </c>
      <c r="E237" s="27" t="s">
        <v>175</v>
      </c>
    </row>
    <row r="238" customFormat="false" ht="15" hidden="false" customHeight="false" outlineLevel="0" collapsed="false">
      <c r="A238" s="23" t="s">
        <v>205</v>
      </c>
      <c r="B238" s="24" t="s">
        <v>78</v>
      </c>
      <c r="C238" s="25" t="n">
        <v>4</v>
      </c>
      <c r="D238" s="26" t="n">
        <v>64.9</v>
      </c>
      <c r="E238" s="27" t="s">
        <v>181</v>
      </c>
    </row>
    <row r="239" customFormat="false" ht="15" hidden="false" customHeight="false" outlineLevel="0" collapsed="false">
      <c r="A239" s="23" t="s">
        <v>205</v>
      </c>
      <c r="B239" s="24" t="s">
        <v>78</v>
      </c>
      <c r="C239" s="25" t="n">
        <v>4</v>
      </c>
      <c r="D239" s="26" t="n">
        <v>64.9</v>
      </c>
      <c r="E239" s="27" t="s">
        <v>181</v>
      </c>
    </row>
    <row r="240" customFormat="false" ht="15" hidden="false" customHeight="false" outlineLevel="0" collapsed="false">
      <c r="A240" s="23" t="s">
        <v>205</v>
      </c>
      <c r="B240" s="24" t="s">
        <v>68</v>
      </c>
      <c r="C240" s="25" t="n">
        <v>1</v>
      </c>
      <c r="D240" s="26" t="n">
        <v>19.13</v>
      </c>
      <c r="E240" s="27" t="s">
        <v>170</v>
      </c>
    </row>
    <row r="241" customFormat="false" ht="15" hidden="false" customHeight="false" outlineLevel="0" collapsed="false">
      <c r="A241" s="23" t="s">
        <v>205</v>
      </c>
      <c r="B241" s="24" t="s">
        <v>68</v>
      </c>
      <c r="C241" s="25" t="n">
        <v>1</v>
      </c>
      <c r="D241" s="26" t="n">
        <v>19.13</v>
      </c>
      <c r="E241" s="27" t="s">
        <v>170</v>
      </c>
    </row>
    <row r="242" customFormat="false" ht="15" hidden="false" customHeight="false" outlineLevel="0" collapsed="false">
      <c r="A242" s="23" t="s">
        <v>205</v>
      </c>
      <c r="B242" s="24" t="s">
        <v>206</v>
      </c>
      <c r="C242" s="25" t="n">
        <v>-2</v>
      </c>
      <c r="D242" s="26" t="n">
        <v>-38.26</v>
      </c>
      <c r="E242" s="27" t="s">
        <v>170</v>
      </c>
    </row>
    <row r="243" customFormat="false" ht="15" hidden="false" customHeight="false" outlineLevel="0" collapsed="false">
      <c r="A243" s="23" t="s">
        <v>205</v>
      </c>
      <c r="B243" s="24" t="s">
        <v>78</v>
      </c>
      <c r="C243" s="25" t="n">
        <v>4</v>
      </c>
      <c r="D243" s="26" t="n">
        <v>64.9</v>
      </c>
      <c r="E243" s="27" t="s">
        <v>170</v>
      </c>
    </row>
    <row r="244" customFormat="false" ht="15" hidden="false" customHeight="false" outlineLevel="0" collapsed="false">
      <c r="A244" s="23" t="s">
        <v>207</v>
      </c>
      <c r="B244" s="24" t="s">
        <v>68</v>
      </c>
      <c r="C244" s="25" t="n">
        <v>1</v>
      </c>
      <c r="D244" s="26" t="n">
        <v>16.8</v>
      </c>
      <c r="E244" s="27" t="s">
        <v>178</v>
      </c>
    </row>
    <row r="245" customFormat="false" ht="15" hidden="false" customHeight="false" outlineLevel="0" collapsed="false">
      <c r="A245" s="23" t="s">
        <v>208</v>
      </c>
      <c r="B245" s="24" t="s">
        <v>68</v>
      </c>
      <c r="C245" s="25" t="n">
        <v>1</v>
      </c>
      <c r="D245" s="26" t="n">
        <v>34.2</v>
      </c>
      <c r="E245" s="27" t="s">
        <v>170</v>
      </c>
    </row>
    <row r="246" customFormat="false" ht="15" hidden="false" customHeight="false" outlineLevel="0" collapsed="false">
      <c r="A246" s="23" t="s">
        <v>209</v>
      </c>
      <c r="B246" s="24" t="s">
        <v>68</v>
      </c>
      <c r="C246" s="25" t="n">
        <v>1</v>
      </c>
      <c r="D246" s="26" t="n">
        <v>26.54</v>
      </c>
      <c r="E246" s="27" t="s">
        <v>200</v>
      </c>
    </row>
    <row r="247" customFormat="false" ht="15" hidden="false" customHeight="false" outlineLevel="0" collapsed="false">
      <c r="A247" s="23" t="s">
        <v>209</v>
      </c>
      <c r="B247" s="24" t="s">
        <v>68</v>
      </c>
      <c r="C247" s="25" t="n">
        <v>1</v>
      </c>
      <c r="D247" s="26" t="n">
        <v>26.54</v>
      </c>
      <c r="E247" s="27" t="s">
        <v>200</v>
      </c>
    </row>
    <row r="248" customFormat="false" ht="15" hidden="false" customHeight="false" outlineLevel="0" collapsed="false">
      <c r="A248" s="23" t="s">
        <v>210</v>
      </c>
      <c r="B248" s="24" t="s">
        <v>68</v>
      </c>
      <c r="C248" s="25" t="n">
        <v>1</v>
      </c>
      <c r="D248" s="26" t="n">
        <v>23.99</v>
      </c>
      <c r="E248" s="27" t="s">
        <v>170</v>
      </c>
    </row>
    <row r="249" customFormat="false" ht="15" hidden="false" customHeight="false" outlineLevel="0" collapsed="false">
      <c r="A249" s="23" t="s">
        <v>211</v>
      </c>
      <c r="B249" s="24" t="s">
        <v>78</v>
      </c>
      <c r="C249" s="25" t="n">
        <v>4</v>
      </c>
      <c r="D249" s="26" t="n">
        <v>99.6</v>
      </c>
      <c r="E249" s="27" t="s">
        <v>181</v>
      </c>
    </row>
    <row r="250" customFormat="false" ht="15" hidden="false" customHeight="false" outlineLevel="0" collapsed="false">
      <c r="A250" s="23" t="s">
        <v>211</v>
      </c>
      <c r="B250" s="24" t="s">
        <v>78</v>
      </c>
      <c r="C250" s="25" t="n">
        <v>4</v>
      </c>
      <c r="D250" s="26" t="n">
        <v>99.6</v>
      </c>
      <c r="E250" s="27" t="s">
        <v>178</v>
      </c>
    </row>
    <row r="251" customFormat="false" ht="15" hidden="false" customHeight="false" outlineLevel="0" collapsed="false">
      <c r="A251" s="23" t="s">
        <v>212</v>
      </c>
      <c r="B251" s="24" t="s">
        <v>68</v>
      </c>
      <c r="C251" s="25" t="n">
        <v>1</v>
      </c>
      <c r="D251" s="26" t="n">
        <v>26.74</v>
      </c>
      <c r="E251" s="27" t="s">
        <v>170</v>
      </c>
    </row>
    <row r="252" customFormat="false" ht="15" hidden="false" customHeight="false" outlineLevel="0" collapsed="false">
      <c r="A252" s="23" t="s">
        <v>213</v>
      </c>
      <c r="B252" s="24" t="s">
        <v>68</v>
      </c>
      <c r="C252" s="25" t="n">
        <v>1</v>
      </c>
      <c r="D252" s="26" t="n">
        <v>7.42</v>
      </c>
      <c r="E252" s="27" t="s">
        <v>175</v>
      </c>
    </row>
    <row r="253" customFormat="false" ht="15" hidden="false" customHeight="false" outlineLevel="0" collapsed="false">
      <c r="A253" s="23" t="s">
        <v>214</v>
      </c>
      <c r="B253" s="24" t="s">
        <v>215</v>
      </c>
      <c r="C253" s="25" t="n">
        <v>1</v>
      </c>
      <c r="D253" s="26" t="n">
        <v>25.62</v>
      </c>
      <c r="E253" s="27" t="s">
        <v>178</v>
      </c>
    </row>
    <row r="254" customFormat="false" ht="15" hidden="false" customHeight="false" outlineLevel="0" collapsed="false">
      <c r="A254" s="23" t="s">
        <v>216</v>
      </c>
      <c r="B254" s="24" t="s">
        <v>58</v>
      </c>
      <c r="C254" s="25" t="n">
        <v>2</v>
      </c>
      <c r="D254" s="26" t="n">
        <v>31.37</v>
      </c>
      <c r="E254" s="27" t="s">
        <v>200</v>
      </c>
    </row>
    <row r="255" customFormat="false" ht="15" hidden="false" customHeight="false" outlineLevel="0" collapsed="false">
      <c r="A255" s="23" t="s">
        <v>216</v>
      </c>
      <c r="B255" s="24" t="s">
        <v>58</v>
      </c>
      <c r="C255" s="25" t="n">
        <v>2</v>
      </c>
      <c r="D255" s="26" t="n">
        <v>31.37</v>
      </c>
      <c r="E255" s="27" t="s">
        <v>200</v>
      </c>
    </row>
    <row r="256" customFormat="false" ht="15" hidden="false" customHeight="false" outlineLevel="0" collapsed="false">
      <c r="A256" s="23" t="s">
        <v>217</v>
      </c>
      <c r="B256" s="24" t="s">
        <v>78</v>
      </c>
      <c r="C256" s="25" t="n">
        <v>4</v>
      </c>
      <c r="D256" s="26" t="n">
        <v>58.68</v>
      </c>
      <c r="E256" s="27" t="s">
        <v>178</v>
      </c>
    </row>
    <row r="257" customFormat="false" ht="15" hidden="false" customHeight="false" outlineLevel="0" collapsed="false">
      <c r="A257" s="23" t="s">
        <v>218</v>
      </c>
      <c r="B257" s="24" t="s">
        <v>78</v>
      </c>
      <c r="C257" s="25" t="n">
        <v>4</v>
      </c>
      <c r="D257" s="26" t="n">
        <v>58.68</v>
      </c>
      <c r="E257" s="27" t="s">
        <v>181</v>
      </c>
    </row>
    <row r="258" customFormat="false" ht="15" hidden="false" customHeight="false" outlineLevel="0" collapsed="false">
      <c r="A258" s="23" t="s">
        <v>219</v>
      </c>
      <c r="B258" s="24" t="s">
        <v>68</v>
      </c>
      <c r="C258" s="25" t="n">
        <v>1</v>
      </c>
      <c r="D258" s="26" t="n">
        <v>34.65</v>
      </c>
      <c r="E258" s="27" t="s">
        <v>69</v>
      </c>
    </row>
    <row r="259" customFormat="false" ht="15" hidden="false" customHeight="false" outlineLevel="0" collapsed="false">
      <c r="A259" s="23" t="s">
        <v>220</v>
      </c>
      <c r="B259" s="24" t="s">
        <v>68</v>
      </c>
      <c r="C259" s="25" t="n">
        <v>1</v>
      </c>
      <c r="D259" s="26" t="n">
        <v>10.08</v>
      </c>
      <c r="E259" s="27" t="s">
        <v>69</v>
      </c>
    </row>
    <row r="260" customFormat="false" ht="15" hidden="false" customHeight="false" outlineLevel="0" collapsed="false">
      <c r="A260" s="23" t="s">
        <v>221</v>
      </c>
      <c r="B260" s="24" t="s">
        <v>68</v>
      </c>
      <c r="C260" s="25" t="n">
        <v>1</v>
      </c>
      <c r="D260" s="26" t="n">
        <v>14.82</v>
      </c>
      <c r="E260" s="27" t="s">
        <v>170</v>
      </c>
    </row>
    <row r="261" customFormat="false" ht="15" hidden="false" customHeight="false" outlineLevel="0" collapsed="false">
      <c r="A261" s="23" t="s">
        <v>222</v>
      </c>
      <c r="B261" s="24" t="s">
        <v>68</v>
      </c>
      <c r="C261" s="25" t="n">
        <v>1</v>
      </c>
      <c r="D261" s="26" t="n">
        <v>24.65</v>
      </c>
      <c r="E261" s="27" t="s">
        <v>170</v>
      </c>
    </row>
    <row r="262" customFormat="false" ht="15" hidden="false" customHeight="false" outlineLevel="0" collapsed="false">
      <c r="A262" s="23" t="s">
        <v>223</v>
      </c>
      <c r="B262" s="24" t="s">
        <v>68</v>
      </c>
      <c r="C262" s="25" t="n">
        <v>1</v>
      </c>
      <c r="D262" s="26" t="n">
        <v>48.5</v>
      </c>
      <c r="E262" s="27" t="s">
        <v>170</v>
      </c>
    </row>
    <row r="263" customFormat="false" ht="15" hidden="false" customHeight="false" outlineLevel="0" collapsed="false">
      <c r="A263" s="23" t="s">
        <v>224</v>
      </c>
      <c r="B263" s="24" t="s">
        <v>68</v>
      </c>
      <c r="C263" s="25" t="n">
        <v>1</v>
      </c>
      <c r="D263" s="26" t="n">
        <v>11.5</v>
      </c>
      <c r="E263" s="27" t="s">
        <v>200</v>
      </c>
    </row>
    <row r="264" customFormat="false" ht="15" hidden="false" customHeight="false" outlineLevel="0" collapsed="false">
      <c r="A264" s="23" t="s">
        <v>225</v>
      </c>
      <c r="B264" s="24" t="s">
        <v>80</v>
      </c>
      <c r="C264" s="25" t="n">
        <v>6</v>
      </c>
      <c r="D264" s="26" t="n">
        <v>72.32</v>
      </c>
      <c r="E264" s="27" t="s">
        <v>50</v>
      </c>
    </row>
    <row r="265" customFormat="false" ht="15" hidden="false" customHeight="false" outlineLevel="0" collapsed="false">
      <c r="A265" s="23" t="s">
        <v>225</v>
      </c>
      <c r="B265" s="24" t="s">
        <v>80</v>
      </c>
      <c r="C265" s="25" t="n">
        <v>6</v>
      </c>
      <c r="D265" s="26" t="n">
        <v>72.32</v>
      </c>
      <c r="E265" s="27" t="s">
        <v>50</v>
      </c>
    </row>
    <row r="266" customFormat="false" ht="15" hidden="false" customHeight="false" outlineLevel="0" collapsed="false">
      <c r="A266" s="23" t="s">
        <v>226</v>
      </c>
      <c r="B266" s="24" t="s">
        <v>80</v>
      </c>
      <c r="C266" s="25" t="n">
        <v>6</v>
      </c>
      <c r="D266" s="26" t="n">
        <v>37.59</v>
      </c>
      <c r="E266" s="27" t="s">
        <v>121</v>
      </c>
    </row>
    <row r="267" customFormat="false" ht="15" hidden="false" customHeight="false" outlineLevel="0" collapsed="false">
      <c r="A267" s="23" t="s">
        <v>227</v>
      </c>
      <c r="B267" s="24" t="s">
        <v>228</v>
      </c>
      <c r="C267" s="25" t="n">
        <v>1</v>
      </c>
      <c r="D267" s="26" t="n">
        <v>12.42</v>
      </c>
      <c r="E267" s="27" t="s">
        <v>170</v>
      </c>
    </row>
    <row r="268" customFormat="false" ht="15" hidden="false" customHeight="false" outlineLevel="0" collapsed="false">
      <c r="A268" s="23" t="s">
        <v>227</v>
      </c>
      <c r="B268" s="24" t="s">
        <v>228</v>
      </c>
      <c r="C268" s="25" t="n">
        <v>1</v>
      </c>
      <c r="D268" s="26" t="n">
        <v>12.42</v>
      </c>
      <c r="E268" s="27" t="s">
        <v>170</v>
      </c>
    </row>
    <row r="269" customFormat="false" ht="15" hidden="false" customHeight="false" outlineLevel="0" collapsed="false">
      <c r="A269" s="23" t="s">
        <v>227</v>
      </c>
      <c r="B269" s="24" t="s">
        <v>118</v>
      </c>
      <c r="C269" s="25" t="n">
        <v>-1</v>
      </c>
      <c r="D269" s="26" t="n">
        <v>-12.42</v>
      </c>
      <c r="E269" s="27" t="s">
        <v>170</v>
      </c>
    </row>
    <row r="270" customFormat="false" ht="15" hidden="false" customHeight="false" outlineLevel="0" collapsed="false">
      <c r="A270" s="23" t="s">
        <v>229</v>
      </c>
      <c r="B270" s="24" t="s">
        <v>68</v>
      </c>
      <c r="C270" s="25" t="n">
        <v>1</v>
      </c>
      <c r="D270" s="26" t="n">
        <v>8.94</v>
      </c>
      <c r="E270" s="27" t="s">
        <v>181</v>
      </c>
    </row>
    <row r="271" customFormat="false" ht="15" hidden="false" customHeight="false" outlineLevel="0" collapsed="false">
      <c r="A271" s="23" t="s">
        <v>229</v>
      </c>
      <c r="B271" s="24" t="s">
        <v>68</v>
      </c>
      <c r="C271" s="25" t="n">
        <v>1</v>
      </c>
      <c r="D271" s="26" t="n">
        <v>8.94</v>
      </c>
      <c r="E271" s="27" t="s">
        <v>170</v>
      </c>
    </row>
    <row r="272" customFormat="false" ht="15" hidden="false" customHeight="false" outlineLevel="0" collapsed="false">
      <c r="A272" s="28" t="s">
        <v>230</v>
      </c>
      <c r="B272" s="28"/>
      <c r="C272" s="28"/>
      <c r="D272" s="29" t="n">
        <f aca="false">SUM(D225:D271)</f>
        <v>1644.98</v>
      </c>
      <c r="E272" s="30"/>
    </row>
    <row r="274" customFormat="false" ht="15" hidden="false" customHeight="false" outlineLevel="0" collapsed="false">
      <c r="A274" s="37" t="s">
        <v>231</v>
      </c>
      <c r="B274" s="37"/>
      <c r="C274" s="37"/>
      <c r="D274" s="37"/>
      <c r="E274" s="37"/>
    </row>
    <row r="275" customFormat="false" ht="15" hidden="false" customHeight="false" outlineLevel="0" collapsed="false">
      <c r="A275" s="21" t="s">
        <v>19</v>
      </c>
      <c r="B275" s="21" t="s">
        <v>20</v>
      </c>
      <c r="C275" s="22" t="s">
        <v>21</v>
      </c>
      <c r="D275" s="22" t="s">
        <v>22</v>
      </c>
      <c r="E275" s="21" t="s">
        <v>23</v>
      </c>
    </row>
    <row r="276" customFormat="false" ht="15" hidden="false" customHeight="false" outlineLevel="0" collapsed="false">
      <c r="A276" s="23" t="s">
        <v>232</v>
      </c>
      <c r="B276" s="24" t="s">
        <v>233</v>
      </c>
      <c r="C276" s="25" t="n">
        <v>1</v>
      </c>
      <c r="D276" s="26" t="n">
        <v>12.9</v>
      </c>
      <c r="E276" s="27" t="s">
        <v>175</v>
      </c>
    </row>
    <row r="277" customFormat="false" ht="15" hidden="false" customHeight="false" outlineLevel="0" collapsed="false">
      <c r="A277" s="23" t="s">
        <v>234</v>
      </c>
      <c r="B277" s="24" t="s">
        <v>235</v>
      </c>
      <c r="C277" s="25" t="n">
        <v>1</v>
      </c>
      <c r="D277" s="26" t="n">
        <v>15</v>
      </c>
      <c r="E277" s="27" t="s">
        <v>181</v>
      </c>
    </row>
    <row r="278" customFormat="false" ht="15" hidden="false" customHeight="false" outlineLevel="0" collapsed="false">
      <c r="A278" s="23" t="s">
        <v>234</v>
      </c>
      <c r="B278" s="24" t="s">
        <v>235</v>
      </c>
      <c r="C278" s="25" t="n">
        <v>1</v>
      </c>
      <c r="D278" s="26" t="n">
        <v>15</v>
      </c>
      <c r="E278" s="27" t="s">
        <v>181</v>
      </c>
    </row>
    <row r="279" customFormat="false" ht="15" hidden="false" customHeight="false" outlineLevel="0" collapsed="false">
      <c r="A279" s="23" t="s">
        <v>236</v>
      </c>
      <c r="B279" s="24" t="s">
        <v>237</v>
      </c>
      <c r="C279" s="25" t="n">
        <v>1</v>
      </c>
      <c r="D279" s="26" t="n">
        <v>13.83</v>
      </c>
      <c r="E279" s="27" t="s">
        <v>121</v>
      </c>
    </row>
    <row r="280" customFormat="false" ht="15" hidden="false" customHeight="false" outlineLevel="0" collapsed="false">
      <c r="A280" s="23" t="s">
        <v>238</v>
      </c>
      <c r="B280" s="24" t="s">
        <v>239</v>
      </c>
      <c r="C280" s="25" t="n">
        <v>1</v>
      </c>
      <c r="D280" s="26" t="n">
        <v>1.2</v>
      </c>
      <c r="E280" s="27" t="s">
        <v>200</v>
      </c>
    </row>
    <row r="281" customFormat="false" ht="15" hidden="false" customHeight="false" outlineLevel="0" collapsed="false">
      <c r="A281" s="23" t="s">
        <v>238</v>
      </c>
      <c r="B281" s="24" t="s">
        <v>239</v>
      </c>
      <c r="C281" s="25" t="n">
        <v>1</v>
      </c>
      <c r="D281" s="26" t="n">
        <v>1.2</v>
      </c>
      <c r="E281" s="27" t="s">
        <v>200</v>
      </c>
    </row>
    <row r="282" customFormat="false" ht="15" hidden="false" customHeight="false" outlineLevel="0" collapsed="false">
      <c r="A282" s="23" t="s">
        <v>238</v>
      </c>
      <c r="B282" s="24" t="s">
        <v>239</v>
      </c>
      <c r="C282" s="25" t="n">
        <v>1</v>
      </c>
      <c r="D282" s="26" t="n">
        <v>1.2</v>
      </c>
      <c r="E282" s="27" t="s">
        <v>121</v>
      </c>
    </row>
    <row r="283" customFormat="false" ht="15" hidden="false" customHeight="false" outlineLevel="0" collapsed="false">
      <c r="A283" s="23" t="s">
        <v>238</v>
      </c>
      <c r="B283" s="24" t="s">
        <v>239</v>
      </c>
      <c r="C283" s="25" t="n">
        <v>1</v>
      </c>
      <c r="D283" s="26" t="n">
        <v>1.2</v>
      </c>
      <c r="E283" s="27" t="s">
        <v>170</v>
      </c>
    </row>
    <row r="284" customFormat="false" ht="15" hidden="false" customHeight="false" outlineLevel="0" collapsed="false">
      <c r="A284" s="23" t="s">
        <v>238</v>
      </c>
      <c r="B284" s="24" t="s">
        <v>239</v>
      </c>
      <c r="C284" s="25" t="n">
        <v>1</v>
      </c>
      <c r="D284" s="26" t="n">
        <v>1.2</v>
      </c>
      <c r="E284" s="27" t="s">
        <v>175</v>
      </c>
    </row>
    <row r="285" customFormat="false" ht="15" hidden="false" customHeight="false" outlineLevel="0" collapsed="false">
      <c r="A285" s="23" t="s">
        <v>240</v>
      </c>
      <c r="B285" s="24" t="s">
        <v>241</v>
      </c>
      <c r="C285" s="25" t="n">
        <v>1</v>
      </c>
      <c r="D285" s="26" t="n">
        <v>17.88</v>
      </c>
      <c r="E285" s="27" t="s">
        <v>170</v>
      </c>
    </row>
    <row r="286" customFormat="false" ht="15" hidden="false" customHeight="false" outlineLevel="0" collapsed="false">
      <c r="A286" s="23" t="s">
        <v>242</v>
      </c>
      <c r="B286" s="24" t="s">
        <v>180</v>
      </c>
      <c r="C286" s="25" t="n">
        <v>1</v>
      </c>
      <c r="D286" s="26" t="n">
        <v>13.17</v>
      </c>
      <c r="E286" s="27" t="s">
        <v>170</v>
      </c>
    </row>
    <row r="287" customFormat="false" ht="15" hidden="false" customHeight="false" outlineLevel="0" collapsed="false">
      <c r="A287" s="23" t="s">
        <v>242</v>
      </c>
      <c r="B287" s="24" t="s">
        <v>180</v>
      </c>
      <c r="C287" s="25" t="n">
        <v>1</v>
      </c>
      <c r="D287" s="26" t="n">
        <v>13.17</v>
      </c>
      <c r="E287" s="27" t="s">
        <v>170</v>
      </c>
    </row>
    <row r="288" customFormat="false" ht="15" hidden="false" customHeight="false" outlineLevel="0" collapsed="false">
      <c r="A288" s="23" t="s">
        <v>242</v>
      </c>
      <c r="B288" s="24" t="s">
        <v>243</v>
      </c>
      <c r="C288" s="25" t="n">
        <v>4</v>
      </c>
      <c r="D288" s="26" t="n">
        <v>35.49</v>
      </c>
      <c r="E288" s="27" t="s">
        <v>175</v>
      </c>
    </row>
    <row r="289" customFormat="false" ht="15" hidden="false" customHeight="false" outlineLevel="0" collapsed="false">
      <c r="A289" s="23" t="s">
        <v>244</v>
      </c>
      <c r="B289" s="24" t="s">
        <v>245</v>
      </c>
      <c r="C289" s="25" t="n">
        <v>1</v>
      </c>
      <c r="D289" s="26" t="n">
        <v>40.09</v>
      </c>
      <c r="E289" s="27" t="s">
        <v>200</v>
      </c>
    </row>
    <row r="290" customFormat="false" ht="15" hidden="false" customHeight="false" outlineLevel="0" collapsed="false">
      <c r="A290" s="23" t="s">
        <v>246</v>
      </c>
      <c r="B290" s="24" t="s">
        <v>247</v>
      </c>
      <c r="C290" s="25" t="n">
        <v>1</v>
      </c>
      <c r="D290" s="26" t="n">
        <v>40.61</v>
      </c>
      <c r="E290" s="27" t="s">
        <v>170</v>
      </c>
    </row>
    <row r="291" customFormat="false" ht="15" hidden="false" customHeight="false" outlineLevel="0" collapsed="false">
      <c r="A291" s="23" t="s">
        <v>248</v>
      </c>
      <c r="B291" s="24" t="s">
        <v>249</v>
      </c>
      <c r="C291" s="25" t="n">
        <v>1</v>
      </c>
      <c r="D291" s="26" t="n">
        <v>41.15</v>
      </c>
      <c r="E291" s="27" t="s">
        <v>200</v>
      </c>
    </row>
    <row r="292" customFormat="false" ht="15" hidden="false" customHeight="false" outlineLevel="0" collapsed="false">
      <c r="A292" s="23" t="s">
        <v>250</v>
      </c>
      <c r="B292" s="24" t="s">
        <v>251</v>
      </c>
      <c r="C292" s="25" t="n">
        <v>1</v>
      </c>
      <c r="D292" s="26" t="n">
        <v>16.7</v>
      </c>
      <c r="E292" s="27" t="s">
        <v>175</v>
      </c>
    </row>
    <row r="293" customFormat="false" ht="15" hidden="false" customHeight="false" outlineLevel="0" collapsed="false">
      <c r="A293" s="28" t="s">
        <v>252</v>
      </c>
      <c r="B293" s="28"/>
      <c r="C293" s="28"/>
      <c r="D293" s="29" t="n">
        <f aca="false">SUM(D276:D292)</f>
        <v>280.99</v>
      </c>
      <c r="E293" s="30"/>
    </row>
    <row r="295" customFormat="false" ht="15" hidden="false" customHeight="false" outlineLevel="0" collapsed="false">
      <c r="A295" s="38" t="s">
        <v>253</v>
      </c>
      <c r="B295" s="38"/>
      <c r="C295" s="38"/>
      <c r="D295" s="38"/>
      <c r="E295" s="38"/>
    </row>
    <row r="296" customFormat="false" ht="15" hidden="false" customHeight="false" outlineLevel="0" collapsed="false">
      <c r="A296" s="21" t="s">
        <v>19</v>
      </c>
      <c r="B296" s="21" t="s">
        <v>20</v>
      </c>
      <c r="C296" s="22" t="s">
        <v>21</v>
      </c>
      <c r="D296" s="22" t="s">
        <v>22</v>
      </c>
      <c r="E296" s="21" t="s">
        <v>23</v>
      </c>
    </row>
    <row r="297" customFormat="false" ht="15" hidden="false" customHeight="false" outlineLevel="0" collapsed="false">
      <c r="A297" s="23" t="s">
        <v>254</v>
      </c>
      <c r="B297" s="24" t="s">
        <v>255</v>
      </c>
      <c r="C297" s="25" t="n">
        <v>220</v>
      </c>
      <c r="D297" s="26" t="n">
        <v>694.35</v>
      </c>
      <c r="E297" s="27" t="s">
        <v>256</v>
      </c>
    </row>
    <row r="298" customFormat="false" ht="15" hidden="false" customHeight="false" outlineLevel="0" collapsed="false">
      <c r="A298" s="23" t="s">
        <v>254</v>
      </c>
      <c r="B298" s="24" t="s">
        <v>257</v>
      </c>
      <c r="C298" s="25" t="n">
        <v>-220</v>
      </c>
      <c r="D298" s="26" t="n">
        <v>-694.35</v>
      </c>
      <c r="E298" s="27" t="s">
        <v>256</v>
      </c>
    </row>
    <row r="299" customFormat="false" ht="15" hidden="false" customHeight="false" outlineLevel="0" collapsed="false">
      <c r="A299" s="23" t="s">
        <v>254</v>
      </c>
      <c r="B299" s="24" t="s">
        <v>180</v>
      </c>
      <c r="C299" s="25" t="n">
        <v>1</v>
      </c>
      <c r="D299" s="26" t="n">
        <v>3.16</v>
      </c>
      <c r="E299" s="27" t="s">
        <v>256</v>
      </c>
    </row>
    <row r="300" customFormat="false" ht="15" hidden="false" customHeight="false" outlineLevel="0" collapsed="false">
      <c r="A300" s="23" t="s">
        <v>254</v>
      </c>
      <c r="B300" s="24" t="s">
        <v>180</v>
      </c>
      <c r="C300" s="25" t="n">
        <v>1</v>
      </c>
      <c r="D300" s="26" t="n">
        <v>3.16</v>
      </c>
      <c r="E300" s="27" t="s">
        <v>256</v>
      </c>
    </row>
    <row r="301" customFormat="false" ht="15" hidden="false" customHeight="false" outlineLevel="0" collapsed="false">
      <c r="A301" s="23" t="s">
        <v>254</v>
      </c>
      <c r="B301" s="24" t="s">
        <v>180</v>
      </c>
      <c r="C301" s="25" t="n">
        <v>1</v>
      </c>
      <c r="D301" s="26" t="n">
        <v>3.16</v>
      </c>
      <c r="E301" s="27" t="s">
        <v>256</v>
      </c>
    </row>
    <row r="302" customFormat="false" ht="15" hidden="false" customHeight="false" outlineLevel="0" collapsed="false">
      <c r="A302" s="23" t="s">
        <v>254</v>
      </c>
      <c r="B302" s="24" t="s">
        <v>180</v>
      </c>
      <c r="C302" s="25" t="n">
        <v>1</v>
      </c>
      <c r="D302" s="26" t="n">
        <v>3.16</v>
      </c>
      <c r="E302" s="27" t="s">
        <v>256</v>
      </c>
    </row>
    <row r="303" customFormat="false" ht="15" hidden="false" customHeight="false" outlineLevel="0" collapsed="false">
      <c r="A303" s="23" t="s">
        <v>254</v>
      </c>
      <c r="B303" s="24" t="s">
        <v>180</v>
      </c>
      <c r="C303" s="25" t="n">
        <v>1</v>
      </c>
      <c r="D303" s="26" t="n">
        <v>3.16</v>
      </c>
      <c r="E303" s="27" t="s">
        <v>256</v>
      </c>
    </row>
    <row r="304" customFormat="false" ht="15" hidden="false" customHeight="false" outlineLevel="0" collapsed="false">
      <c r="A304" s="23" t="s">
        <v>254</v>
      </c>
      <c r="B304" s="24" t="s">
        <v>180</v>
      </c>
      <c r="C304" s="25" t="n">
        <v>1</v>
      </c>
      <c r="D304" s="26" t="n">
        <v>3.16</v>
      </c>
      <c r="E304" s="27" t="s">
        <v>256</v>
      </c>
    </row>
    <row r="305" customFormat="false" ht="15" hidden="false" customHeight="false" outlineLevel="0" collapsed="false">
      <c r="A305" s="23" t="s">
        <v>254</v>
      </c>
      <c r="B305" s="24" t="s">
        <v>180</v>
      </c>
      <c r="C305" s="25" t="n">
        <v>1</v>
      </c>
      <c r="D305" s="26" t="n">
        <v>3.16</v>
      </c>
      <c r="E305" s="27" t="s">
        <v>256</v>
      </c>
    </row>
    <row r="306" customFormat="false" ht="15" hidden="false" customHeight="false" outlineLevel="0" collapsed="false">
      <c r="A306" s="23" t="s">
        <v>254</v>
      </c>
      <c r="B306" s="24" t="s">
        <v>180</v>
      </c>
      <c r="C306" s="25" t="n">
        <v>1</v>
      </c>
      <c r="D306" s="26" t="n">
        <v>3.16</v>
      </c>
      <c r="E306" s="27" t="s">
        <v>256</v>
      </c>
    </row>
    <row r="307" customFormat="false" ht="15" hidden="false" customHeight="false" outlineLevel="0" collapsed="false">
      <c r="A307" s="23" t="s">
        <v>254</v>
      </c>
      <c r="B307" s="24" t="s">
        <v>180</v>
      </c>
      <c r="C307" s="25" t="n">
        <v>1</v>
      </c>
      <c r="D307" s="26" t="n">
        <v>3.16</v>
      </c>
      <c r="E307" s="27" t="s">
        <v>256</v>
      </c>
    </row>
    <row r="308" customFormat="false" ht="15" hidden="false" customHeight="false" outlineLevel="0" collapsed="false">
      <c r="A308" s="23" t="s">
        <v>258</v>
      </c>
      <c r="B308" s="24" t="s">
        <v>259</v>
      </c>
      <c r="C308" s="25" t="n">
        <v>1</v>
      </c>
      <c r="D308" s="26" t="n">
        <v>33.92</v>
      </c>
      <c r="E308" s="27" t="s">
        <v>69</v>
      </c>
    </row>
    <row r="309" customFormat="false" ht="15" hidden="false" customHeight="false" outlineLevel="0" collapsed="false">
      <c r="A309" s="23" t="s">
        <v>260</v>
      </c>
      <c r="B309" s="24" t="s">
        <v>261</v>
      </c>
      <c r="C309" s="25" t="n">
        <v>1</v>
      </c>
      <c r="D309" s="26" t="n">
        <v>26.76</v>
      </c>
      <c r="E309" s="27" t="s">
        <v>69</v>
      </c>
    </row>
    <row r="310" customFormat="false" ht="15" hidden="false" customHeight="false" outlineLevel="0" collapsed="false">
      <c r="A310" s="23" t="s">
        <v>262</v>
      </c>
      <c r="B310" s="24" t="s">
        <v>172</v>
      </c>
      <c r="C310" s="25" t="n">
        <v>1</v>
      </c>
      <c r="D310" s="26" t="n">
        <v>49.85</v>
      </c>
      <c r="E310" s="27" t="s">
        <v>200</v>
      </c>
    </row>
    <row r="311" customFormat="false" ht="15" hidden="false" customHeight="false" outlineLevel="0" collapsed="false">
      <c r="A311" s="23" t="s">
        <v>263</v>
      </c>
      <c r="B311" s="24" t="s">
        <v>264</v>
      </c>
      <c r="C311" s="25" t="n">
        <v>1</v>
      </c>
      <c r="D311" s="26" t="n">
        <v>33.56</v>
      </c>
      <c r="E311" s="27" t="s">
        <v>200</v>
      </c>
    </row>
    <row r="312" customFormat="false" ht="15" hidden="false" customHeight="false" outlineLevel="0" collapsed="false">
      <c r="A312" s="23" t="s">
        <v>265</v>
      </c>
      <c r="B312" s="24" t="s">
        <v>266</v>
      </c>
      <c r="C312" s="25" t="n">
        <v>1</v>
      </c>
      <c r="D312" s="26" t="n">
        <v>33.99</v>
      </c>
      <c r="E312" s="27" t="s">
        <v>178</v>
      </c>
    </row>
    <row r="313" customFormat="false" ht="15" hidden="false" customHeight="false" outlineLevel="0" collapsed="false">
      <c r="A313" s="23" t="s">
        <v>267</v>
      </c>
      <c r="B313" s="24" t="s">
        <v>172</v>
      </c>
      <c r="C313" s="25" t="n">
        <v>1</v>
      </c>
      <c r="D313" s="26" t="n">
        <v>81.37</v>
      </c>
      <c r="E313" s="27" t="s">
        <v>69</v>
      </c>
    </row>
    <row r="314" customFormat="false" ht="15" hidden="false" customHeight="false" outlineLevel="0" collapsed="false">
      <c r="A314" s="23" t="s">
        <v>268</v>
      </c>
      <c r="B314" s="24" t="s">
        <v>180</v>
      </c>
      <c r="C314" s="25" t="n">
        <v>1</v>
      </c>
      <c r="D314" s="26" t="n">
        <v>22.92</v>
      </c>
      <c r="E314" s="27" t="s">
        <v>170</v>
      </c>
    </row>
    <row r="315" customFormat="false" ht="15" hidden="false" customHeight="false" outlineLevel="0" collapsed="false">
      <c r="A315" s="23" t="s">
        <v>269</v>
      </c>
      <c r="B315" s="24" t="s">
        <v>172</v>
      </c>
      <c r="C315" s="25" t="n">
        <v>1</v>
      </c>
      <c r="D315" s="26" t="n">
        <v>7.29</v>
      </c>
      <c r="E315" s="27" t="s">
        <v>170</v>
      </c>
    </row>
    <row r="316" customFormat="false" ht="15" hidden="false" customHeight="false" outlineLevel="0" collapsed="false">
      <c r="A316" s="23" t="s">
        <v>270</v>
      </c>
      <c r="B316" s="24" t="s">
        <v>271</v>
      </c>
      <c r="C316" s="25" t="n">
        <v>1</v>
      </c>
      <c r="D316" s="26" t="n">
        <v>31.99</v>
      </c>
      <c r="E316" s="27" t="s">
        <v>170</v>
      </c>
    </row>
    <row r="317" customFormat="false" ht="15" hidden="false" customHeight="false" outlineLevel="0" collapsed="false">
      <c r="A317" s="23" t="s">
        <v>270</v>
      </c>
      <c r="B317" s="24" t="s">
        <v>271</v>
      </c>
      <c r="C317" s="25" t="n">
        <v>1</v>
      </c>
      <c r="D317" s="26" t="n">
        <v>31.99</v>
      </c>
      <c r="E317" s="27" t="s">
        <v>170</v>
      </c>
    </row>
    <row r="318" customFormat="false" ht="15" hidden="false" customHeight="false" outlineLevel="0" collapsed="false">
      <c r="A318" s="23" t="s">
        <v>272</v>
      </c>
      <c r="B318" s="24" t="s">
        <v>172</v>
      </c>
      <c r="C318" s="25" t="n">
        <v>1</v>
      </c>
      <c r="D318" s="26" t="n">
        <v>13.34</v>
      </c>
      <c r="E318" s="27" t="s">
        <v>175</v>
      </c>
    </row>
    <row r="319" customFormat="false" ht="15" hidden="false" customHeight="false" outlineLevel="0" collapsed="false">
      <c r="A319" s="23" t="s">
        <v>273</v>
      </c>
      <c r="B319" s="24" t="s">
        <v>172</v>
      </c>
      <c r="C319" s="25" t="n">
        <v>1</v>
      </c>
      <c r="D319" s="26" t="n">
        <v>18</v>
      </c>
      <c r="E319" s="27" t="s">
        <v>175</v>
      </c>
    </row>
    <row r="320" customFormat="false" ht="15" hidden="false" customHeight="false" outlineLevel="0" collapsed="false">
      <c r="A320" s="23" t="s">
        <v>274</v>
      </c>
      <c r="B320" s="24" t="s">
        <v>275</v>
      </c>
      <c r="C320" s="25" t="n">
        <v>10</v>
      </c>
      <c r="D320" s="26" t="n">
        <v>45.06</v>
      </c>
      <c r="E320" s="27" t="s">
        <v>69</v>
      </c>
    </row>
    <row r="321" customFormat="false" ht="15" hidden="false" customHeight="false" outlineLevel="0" collapsed="false">
      <c r="A321" s="23" t="s">
        <v>274</v>
      </c>
      <c r="B321" s="24" t="s">
        <v>275</v>
      </c>
      <c r="C321" s="25" t="n">
        <v>10</v>
      </c>
      <c r="D321" s="26" t="n">
        <v>45.06</v>
      </c>
      <c r="E321" s="27" t="s">
        <v>69</v>
      </c>
    </row>
    <row r="322" customFormat="false" ht="15" hidden="false" customHeight="false" outlineLevel="0" collapsed="false">
      <c r="A322" s="23" t="s">
        <v>276</v>
      </c>
      <c r="B322" s="24" t="s">
        <v>275</v>
      </c>
      <c r="C322" s="25" t="n">
        <v>10</v>
      </c>
      <c r="D322" s="26" t="n">
        <v>43.17</v>
      </c>
      <c r="E322" s="27" t="s">
        <v>69</v>
      </c>
    </row>
    <row r="323" customFormat="false" ht="15" hidden="false" customHeight="false" outlineLevel="0" collapsed="false">
      <c r="A323" s="23" t="s">
        <v>276</v>
      </c>
      <c r="B323" s="24" t="s">
        <v>275</v>
      </c>
      <c r="C323" s="25" t="n">
        <v>10</v>
      </c>
      <c r="D323" s="26" t="n">
        <v>42.99</v>
      </c>
      <c r="E323" s="27" t="s">
        <v>170</v>
      </c>
    </row>
    <row r="324" customFormat="false" ht="15" hidden="false" customHeight="false" outlineLevel="0" collapsed="false">
      <c r="A324" s="23" t="s">
        <v>277</v>
      </c>
      <c r="B324" s="24" t="s">
        <v>278</v>
      </c>
      <c r="C324" s="25" t="n">
        <v>6</v>
      </c>
      <c r="D324" s="26" t="n">
        <v>18.68</v>
      </c>
      <c r="E324" s="27" t="s">
        <v>256</v>
      </c>
    </row>
    <row r="325" customFormat="false" ht="15" hidden="false" customHeight="false" outlineLevel="0" collapsed="false">
      <c r="A325" s="23" t="s">
        <v>277</v>
      </c>
      <c r="B325" s="24" t="s">
        <v>180</v>
      </c>
      <c r="C325" s="25" t="n">
        <v>1</v>
      </c>
      <c r="D325" s="26" t="n">
        <v>3.12</v>
      </c>
      <c r="E325" s="27" t="s">
        <v>256</v>
      </c>
    </row>
    <row r="326" customFormat="false" ht="15" hidden="false" customHeight="false" outlineLevel="0" collapsed="false">
      <c r="A326" s="23" t="s">
        <v>277</v>
      </c>
      <c r="B326" s="24" t="s">
        <v>180</v>
      </c>
      <c r="C326" s="25" t="n">
        <v>1</v>
      </c>
      <c r="D326" s="26" t="n">
        <v>3.12</v>
      </c>
      <c r="E326" s="27" t="s">
        <v>256</v>
      </c>
    </row>
    <row r="327" customFormat="false" ht="15" hidden="false" customHeight="false" outlineLevel="0" collapsed="false">
      <c r="A327" s="23" t="s">
        <v>279</v>
      </c>
      <c r="B327" s="24" t="s">
        <v>180</v>
      </c>
      <c r="C327" s="25" t="n">
        <v>1</v>
      </c>
      <c r="D327" s="26" t="n">
        <v>2.1</v>
      </c>
      <c r="E327" s="27" t="s">
        <v>170</v>
      </c>
    </row>
    <row r="328" customFormat="false" ht="15" hidden="false" customHeight="false" outlineLevel="0" collapsed="false">
      <c r="A328" s="23" t="s">
        <v>279</v>
      </c>
      <c r="B328" s="24" t="s">
        <v>180</v>
      </c>
      <c r="C328" s="25" t="n">
        <v>1</v>
      </c>
      <c r="D328" s="26" t="n">
        <v>2.1</v>
      </c>
      <c r="E328" s="27" t="s">
        <v>170</v>
      </c>
    </row>
    <row r="329" customFormat="false" ht="15" hidden="false" customHeight="false" outlineLevel="0" collapsed="false">
      <c r="A329" s="23" t="s">
        <v>279</v>
      </c>
      <c r="B329" s="24" t="s">
        <v>180</v>
      </c>
      <c r="C329" s="25" t="n">
        <v>1</v>
      </c>
      <c r="D329" s="26" t="n">
        <v>2.1</v>
      </c>
      <c r="E329" s="27" t="s">
        <v>170</v>
      </c>
    </row>
    <row r="330" customFormat="false" ht="15" hidden="false" customHeight="false" outlineLevel="0" collapsed="false">
      <c r="A330" s="23" t="s">
        <v>279</v>
      </c>
      <c r="B330" s="24" t="s">
        <v>180</v>
      </c>
      <c r="C330" s="25" t="n">
        <v>1</v>
      </c>
      <c r="D330" s="26" t="n">
        <v>2.1</v>
      </c>
      <c r="E330" s="27" t="s">
        <v>170</v>
      </c>
    </row>
    <row r="331" customFormat="false" ht="15" hidden="false" customHeight="false" outlineLevel="0" collapsed="false">
      <c r="A331" s="23" t="s">
        <v>279</v>
      </c>
      <c r="B331" s="24" t="s">
        <v>180</v>
      </c>
      <c r="C331" s="25" t="n">
        <v>1</v>
      </c>
      <c r="D331" s="26" t="n">
        <v>2.1</v>
      </c>
      <c r="E331" s="27" t="s">
        <v>170</v>
      </c>
    </row>
    <row r="332" customFormat="false" ht="15" hidden="false" customHeight="false" outlineLevel="0" collapsed="false">
      <c r="A332" s="23" t="s">
        <v>280</v>
      </c>
      <c r="B332" s="24" t="s">
        <v>281</v>
      </c>
      <c r="C332" s="25" t="n">
        <v>1</v>
      </c>
      <c r="D332" s="26" t="n">
        <v>32.58</v>
      </c>
      <c r="E332" s="27" t="s">
        <v>175</v>
      </c>
    </row>
    <row r="333" customFormat="false" ht="15" hidden="false" customHeight="false" outlineLevel="0" collapsed="false">
      <c r="A333" s="23" t="s">
        <v>282</v>
      </c>
      <c r="B333" s="24" t="s">
        <v>283</v>
      </c>
      <c r="C333" s="25" t="n">
        <v>1</v>
      </c>
      <c r="D333" s="26" t="n">
        <v>67.44</v>
      </c>
      <c r="E333" s="27" t="s">
        <v>121</v>
      </c>
    </row>
    <row r="334" customFormat="false" ht="15" hidden="false" customHeight="false" outlineLevel="0" collapsed="false">
      <c r="A334" s="23" t="s">
        <v>284</v>
      </c>
      <c r="B334" s="24" t="s">
        <v>172</v>
      </c>
      <c r="C334" s="25" t="n">
        <v>1</v>
      </c>
      <c r="D334" s="26" t="n">
        <v>64.99</v>
      </c>
      <c r="E334" s="27" t="s">
        <v>50</v>
      </c>
    </row>
    <row r="335" customFormat="false" ht="15" hidden="false" customHeight="false" outlineLevel="0" collapsed="false">
      <c r="A335" s="23" t="s">
        <v>285</v>
      </c>
      <c r="B335" s="24" t="s">
        <v>172</v>
      </c>
      <c r="C335" s="25" t="n">
        <v>1</v>
      </c>
      <c r="D335" s="26" t="n">
        <v>41.99</v>
      </c>
      <c r="E335" s="27" t="s">
        <v>50</v>
      </c>
    </row>
    <row r="336" customFormat="false" ht="15" hidden="false" customHeight="false" outlineLevel="0" collapsed="false">
      <c r="A336" s="23" t="s">
        <v>286</v>
      </c>
      <c r="B336" s="24" t="s">
        <v>287</v>
      </c>
      <c r="C336" s="25" t="n">
        <v>1</v>
      </c>
      <c r="D336" s="26" t="n">
        <v>62.73</v>
      </c>
      <c r="E336" s="27" t="s">
        <v>69</v>
      </c>
    </row>
    <row r="337" customFormat="false" ht="15" hidden="false" customHeight="false" outlineLevel="0" collapsed="false">
      <c r="A337" s="23" t="s">
        <v>286</v>
      </c>
      <c r="B337" s="24" t="s">
        <v>287</v>
      </c>
      <c r="C337" s="25" t="n">
        <v>1</v>
      </c>
      <c r="D337" s="26" t="n">
        <v>62.73</v>
      </c>
      <c r="E337" s="27" t="s">
        <v>175</v>
      </c>
    </row>
    <row r="338" customFormat="false" ht="15" hidden="false" customHeight="false" outlineLevel="0" collapsed="false">
      <c r="A338" s="23" t="s">
        <v>288</v>
      </c>
      <c r="B338" s="24" t="s">
        <v>289</v>
      </c>
      <c r="C338" s="25" t="n">
        <v>1</v>
      </c>
      <c r="D338" s="26" t="n">
        <v>13.43</v>
      </c>
      <c r="E338" s="27" t="s">
        <v>121</v>
      </c>
    </row>
    <row r="339" customFormat="false" ht="15" hidden="false" customHeight="false" outlineLevel="0" collapsed="false">
      <c r="A339" s="23" t="s">
        <v>290</v>
      </c>
      <c r="B339" s="24" t="s">
        <v>291</v>
      </c>
      <c r="C339" s="25" t="n">
        <v>1</v>
      </c>
      <c r="D339" s="26" t="n">
        <v>19.29</v>
      </c>
      <c r="E339" s="27" t="s">
        <v>121</v>
      </c>
    </row>
    <row r="340" customFormat="false" ht="15" hidden="false" customHeight="false" outlineLevel="0" collapsed="false">
      <c r="A340" s="23" t="s">
        <v>290</v>
      </c>
      <c r="B340" s="24" t="s">
        <v>291</v>
      </c>
      <c r="C340" s="25" t="n">
        <v>1</v>
      </c>
      <c r="D340" s="26" t="n">
        <v>19.29</v>
      </c>
      <c r="E340" s="27" t="s">
        <v>121</v>
      </c>
    </row>
    <row r="341" customFormat="false" ht="15" hidden="false" customHeight="false" outlineLevel="0" collapsed="false">
      <c r="A341" s="23" t="s">
        <v>292</v>
      </c>
      <c r="B341" s="24" t="s">
        <v>293</v>
      </c>
      <c r="C341" s="25" t="n">
        <v>5</v>
      </c>
      <c r="D341" s="26" t="n">
        <v>33.65</v>
      </c>
      <c r="E341" s="27" t="s">
        <v>200</v>
      </c>
    </row>
    <row r="342" customFormat="false" ht="15" hidden="false" customHeight="false" outlineLevel="0" collapsed="false">
      <c r="A342" s="23" t="s">
        <v>294</v>
      </c>
      <c r="B342" s="24" t="s">
        <v>295</v>
      </c>
      <c r="C342" s="25" t="n">
        <v>1</v>
      </c>
      <c r="D342" s="26" t="n">
        <v>21.68</v>
      </c>
      <c r="E342" s="27" t="s">
        <v>200</v>
      </c>
    </row>
    <row r="343" customFormat="false" ht="15" hidden="false" customHeight="false" outlineLevel="0" collapsed="false">
      <c r="A343" s="23" t="s">
        <v>296</v>
      </c>
      <c r="B343" s="24" t="s">
        <v>180</v>
      </c>
      <c r="C343" s="25" t="n">
        <v>1</v>
      </c>
      <c r="D343" s="26" t="n">
        <v>1.54</v>
      </c>
      <c r="E343" s="27" t="s">
        <v>69</v>
      </c>
    </row>
    <row r="344" customFormat="false" ht="15" hidden="false" customHeight="false" outlineLevel="0" collapsed="false">
      <c r="A344" s="23" t="s">
        <v>297</v>
      </c>
      <c r="B344" s="24" t="s">
        <v>180</v>
      </c>
      <c r="C344" s="25" t="n">
        <v>1</v>
      </c>
      <c r="D344" s="26" t="n">
        <v>0.89</v>
      </c>
      <c r="E344" s="27" t="s">
        <v>69</v>
      </c>
    </row>
    <row r="345" customFormat="false" ht="15" hidden="false" customHeight="false" outlineLevel="0" collapsed="false">
      <c r="A345" s="23" t="s">
        <v>297</v>
      </c>
      <c r="B345" s="24" t="s">
        <v>180</v>
      </c>
      <c r="C345" s="25" t="n">
        <v>1</v>
      </c>
      <c r="D345" s="26" t="n">
        <v>0.89</v>
      </c>
      <c r="E345" s="27" t="s">
        <v>69</v>
      </c>
    </row>
    <row r="346" customFormat="false" ht="15" hidden="false" customHeight="false" outlineLevel="0" collapsed="false">
      <c r="A346" s="23" t="s">
        <v>298</v>
      </c>
      <c r="B346" s="24" t="s">
        <v>172</v>
      </c>
      <c r="C346" s="25" t="n">
        <v>1</v>
      </c>
      <c r="D346" s="26" t="n">
        <v>13.67</v>
      </c>
      <c r="E346" s="27" t="s">
        <v>69</v>
      </c>
    </row>
    <row r="347" customFormat="false" ht="15" hidden="false" customHeight="false" outlineLevel="0" collapsed="false">
      <c r="A347" s="23" t="s">
        <v>299</v>
      </c>
      <c r="B347" s="24" t="s">
        <v>172</v>
      </c>
      <c r="C347" s="25" t="n">
        <v>1</v>
      </c>
      <c r="D347" s="26" t="n">
        <v>2.62</v>
      </c>
      <c r="E347" s="27" t="s">
        <v>69</v>
      </c>
    </row>
    <row r="348" customFormat="false" ht="15" hidden="false" customHeight="false" outlineLevel="0" collapsed="false">
      <c r="A348" s="23" t="s">
        <v>300</v>
      </c>
      <c r="B348" s="24" t="s">
        <v>180</v>
      </c>
      <c r="C348" s="25" t="n">
        <v>1</v>
      </c>
      <c r="D348" s="26" t="n">
        <v>18.66</v>
      </c>
      <c r="E348" s="27" t="s">
        <v>69</v>
      </c>
    </row>
    <row r="349" customFormat="false" ht="15" hidden="false" customHeight="false" outlineLevel="0" collapsed="false">
      <c r="A349" s="23" t="s">
        <v>301</v>
      </c>
      <c r="B349" s="24" t="s">
        <v>302</v>
      </c>
      <c r="C349" s="25" t="n">
        <v>1</v>
      </c>
      <c r="D349" s="26" t="n">
        <v>24.24</v>
      </c>
      <c r="E349" s="27" t="s">
        <v>170</v>
      </c>
    </row>
    <row r="350" customFormat="false" ht="15" hidden="false" customHeight="false" outlineLevel="0" collapsed="false">
      <c r="A350" s="23" t="s">
        <v>301</v>
      </c>
      <c r="B350" s="24" t="s">
        <v>302</v>
      </c>
      <c r="C350" s="25" t="n">
        <v>1</v>
      </c>
      <c r="D350" s="26" t="n">
        <v>24.24</v>
      </c>
      <c r="E350" s="27" t="s">
        <v>170</v>
      </c>
    </row>
    <row r="351" customFormat="false" ht="15" hidden="false" customHeight="false" outlineLevel="0" collapsed="false">
      <c r="A351" s="23" t="s">
        <v>303</v>
      </c>
      <c r="B351" s="24" t="s">
        <v>304</v>
      </c>
      <c r="C351" s="25" t="n">
        <v>1</v>
      </c>
      <c r="D351" s="26" t="n">
        <v>28.96</v>
      </c>
      <c r="E351" s="27" t="s">
        <v>200</v>
      </c>
    </row>
    <row r="352" customFormat="false" ht="15" hidden="false" customHeight="false" outlineLevel="0" collapsed="false">
      <c r="A352" s="23" t="s">
        <v>303</v>
      </c>
      <c r="B352" s="24" t="s">
        <v>304</v>
      </c>
      <c r="C352" s="25" t="n">
        <v>1</v>
      </c>
      <c r="D352" s="26" t="n">
        <v>28.96</v>
      </c>
      <c r="E352" s="27" t="s">
        <v>200</v>
      </c>
    </row>
    <row r="353" customFormat="false" ht="15" hidden="false" customHeight="false" outlineLevel="0" collapsed="false">
      <c r="A353" s="23" t="s">
        <v>305</v>
      </c>
      <c r="B353" s="24" t="s">
        <v>172</v>
      </c>
      <c r="C353" s="25" t="n">
        <v>1</v>
      </c>
      <c r="D353" s="26" t="n">
        <v>1.93</v>
      </c>
      <c r="E353" s="27" t="s">
        <v>256</v>
      </c>
    </row>
    <row r="354" customFormat="false" ht="15" hidden="false" customHeight="false" outlineLevel="0" collapsed="false">
      <c r="A354" s="23" t="s">
        <v>305</v>
      </c>
      <c r="B354" s="24" t="s">
        <v>172</v>
      </c>
      <c r="C354" s="25" t="n">
        <v>1</v>
      </c>
      <c r="D354" s="26" t="n">
        <v>1.93</v>
      </c>
      <c r="E354" s="27" t="s">
        <v>256</v>
      </c>
    </row>
    <row r="355" customFormat="false" ht="15" hidden="false" customHeight="false" outlineLevel="0" collapsed="false">
      <c r="A355" s="23" t="s">
        <v>305</v>
      </c>
      <c r="B355" s="24" t="s">
        <v>172</v>
      </c>
      <c r="C355" s="25" t="n">
        <v>1</v>
      </c>
      <c r="D355" s="26" t="n">
        <v>1.93</v>
      </c>
      <c r="E355" s="27" t="s">
        <v>69</v>
      </c>
    </row>
    <row r="356" customFormat="false" ht="15" hidden="false" customHeight="false" outlineLevel="0" collapsed="false">
      <c r="A356" s="23" t="s">
        <v>305</v>
      </c>
      <c r="B356" s="24" t="s">
        <v>172</v>
      </c>
      <c r="C356" s="25" t="n">
        <v>1</v>
      </c>
      <c r="D356" s="26" t="n">
        <v>1.93</v>
      </c>
      <c r="E356" s="27" t="s">
        <v>69</v>
      </c>
    </row>
    <row r="357" customFormat="false" ht="15" hidden="false" customHeight="false" outlineLevel="0" collapsed="false">
      <c r="A357" s="28" t="s">
        <v>306</v>
      </c>
      <c r="B357" s="28"/>
      <c r="C357" s="28"/>
      <c r="D357" s="29" t="n">
        <f aca="false">SUM(D297:D356)</f>
        <v>1217.31</v>
      </c>
      <c r="E357" s="30"/>
    </row>
    <row r="359" customFormat="false" ht="15" hidden="false" customHeight="false" outlineLevel="0" collapsed="false">
      <c r="A359" s="39" t="s">
        <v>307</v>
      </c>
      <c r="B359" s="39"/>
      <c r="C359" s="39"/>
      <c r="D359" s="39"/>
      <c r="E359" s="39"/>
    </row>
    <row r="360" customFormat="false" ht="15" hidden="false" customHeight="false" outlineLevel="0" collapsed="false">
      <c r="A360" s="21" t="s">
        <v>19</v>
      </c>
      <c r="B360" s="21" t="s">
        <v>20</v>
      </c>
      <c r="C360" s="22" t="s">
        <v>21</v>
      </c>
      <c r="D360" s="22" t="s">
        <v>22</v>
      </c>
      <c r="E360" s="21" t="s">
        <v>23</v>
      </c>
    </row>
    <row r="361" customFormat="false" ht="15" hidden="false" customHeight="false" outlineLevel="0" collapsed="false">
      <c r="A361" s="23" t="s">
        <v>308</v>
      </c>
      <c r="B361" s="24" t="s">
        <v>309</v>
      </c>
      <c r="C361" s="25"/>
      <c r="D361" s="26" t="n">
        <v>-19.04</v>
      </c>
      <c r="E361" s="27" t="s">
        <v>28</v>
      </c>
    </row>
    <row r="362" customFormat="false" ht="15" hidden="false" customHeight="false" outlineLevel="0" collapsed="false">
      <c r="A362" s="23" t="s">
        <v>308</v>
      </c>
      <c r="B362" s="24" t="s">
        <v>309</v>
      </c>
      <c r="C362" s="25"/>
      <c r="D362" s="26" t="n">
        <v>-19.04</v>
      </c>
      <c r="E362" s="27" t="s">
        <v>28</v>
      </c>
    </row>
    <row r="363" customFormat="false" ht="15" hidden="false" customHeight="false" outlineLevel="0" collapsed="false">
      <c r="A363" s="23" t="s">
        <v>308</v>
      </c>
      <c r="B363" s="24" t="s">
        <v>310</v>
      </c>
      <c r="C363" s="25"/>
      <c r="D363" s="26" t="n">
        <v>-78.02</v>
      </c>
      <c r="E363" s="27" t="s">
        <v>28</v>
      </c>
    </row>
    <row r="364" customFormat="false" ht="15" hidden="false" customHeight="false" outlineLevel="0" collapsed="false">
      <c r="A364" s="23" t="s">
        <v>308</v>
      </c>
      <c r="B364" s="24" t="s">
        <v>310</v>
      </c>
      <c r="C364" s="25"/>
      <c r="D364" s="26" t="n">
        <v>-78.39</v>
      </c>
      <c r="E364" s="27" t="s">
        <v>28</v>
      </c>
    </row>
    <row r="365" customFormat="false" ht="15" hidden="false" customHeight="false" outlineLevel="0" collapsed="false">
      <c r="A365" s="23" t="s">
        <v>308</v>
      </c>
      <c r="B365" s="24" t="s">
        <v>311</v>
      </c>
      <c r="C365" s="25"/>
      <c r="D365" s="26" t="n">
        <v>-144.74</v>
      </c>
      <c r="E365" s="27" t="s">
        <v>33</v>
      </c>
    </row>
    <row r="366" customFormat="false" ht="15" hidden="false" customHeight="false" outlineLevel="0" collapsed="false">
      <c r="A366" s="23" t="s">
        <v>308</v>
      </c>
      <c r="B366" s="24" t="s">
        <v>311</v>
      </c>
      <c r="C366" s="25"/>
      <c r="D366" s="26" t="n">
        <v>-148.16</v>
      </c>
      <c r="E366" s="27" t="s">
        <v>33</v>
      </c>
    </row>
    <row r="367" customFormat="false" ht="15" hidden="false" customHeight="false" outlineLevel="0" collapsed="false">
      <c r="A367" s="23" t="s">
        <v>308</v>
      </c>
      <c r="B367" s="24" t="s">
        <v>311</v>
      </c>
      <c r="C367" s="25"/>
      <c r="D367" s="26" t="n">
        <v>-147.19</v>
      </c>
      <c r="E367" s="27" t="s">
        <v>33</v>
      </c>
    </row>
    <row r="368" customFormat="false" ht="15" hidden="false" customHeight="false" outlineLevel="0" collapsed="false">
      <c r="A368" s="23" t="s">
        <v>308</v>
      </c>
      <c r="B368" s="24" t="s">
        <v>311</v>
      </c>
      <c r="C368" s="25"/>
      <c r="D368" s="26" t="n">
        <v>-148.16</v>
      </c>
      <c r="E368" s="27" t="s">
        <v>33</v>
      </c>
    </row>
    <row r="369" customFormat="false" ht="15" hidden="false" customHeight="false" outlineLevel="0" collapsed="false">
      <c r="A369" s="23" t="s">
        <v>308</v>
      </c>
      <c r="B369" s="24" t="s">
        <v>311</v>
      </c>
      <c r="C369" s="25"/>
      <c r="D369" s="26" t="n">
        <v>-144.26</v>
      </c>
      <c r="E369" s="27" t="s">
        <v>33</v>
      </c>
    </row>
    <row r="370" customFormat="false" ht="15" hidden="false" customHeight="false" outlineLevel="0" collapsed="false">
      <c r="A370" s="23" t="s">
        <v>308</v>
      </c>
      <c r="B370" s="24" t="s">
        <v>311</v>
      </c>
      <c r="C370" s="25"/>
      <c r="D370" s="26" t="n">
        <v>-146.7</v>
      </c>
      <c r="E370" s="27" t="s">
        <v>33</v>
      </c>
    </row>
    <row r="371" customFormat="false" ht="15" hidden="false" customHeight="false" outlineLevel="0" collapsed="false">
      <c r="A371" s="23" t="s">
        <v>308</v>
      </c>
      <c r="B371" s="24" t="s">
        <v>311</v>
      </c>
      <c r="C371" s="25"/>
      <c r="D371" s="26" t="n">
        <v>-144.5</v>
      </c>
      <c r="E371" s="27" t="s">
        <v>33</v>
      </c>
    </row>
    <row r="372" customFormat="false" ht="15" hidden="false" customHeight="false" outlineLevel="0" collapsed="false">
      <c r="A372" s="23" t="s">
        <v>312</v>
      </c>
      <c r="B372" s="24" t="s">
        <v>313</v>
      </c>
      <c r="C372" s="25"/>
      <c r="D372" s="26" t="n">
        <v>-25.97</v>
      </c>
      <c r="E372" s="27" t="s">
        <v>28</v>
      </c>
    </row>
    <row r="373" customFormat="false" ht="15" hidden="false" customHeight="false" outlineLevel="0" collapsed="false">
      <c r="A373" s="23" t="s">
        <v>312</v>
      </c>
      <c r="B373" s="24" t="s">
        <v>313</v>
      </c>
      <c r="C373" s="25"/>
      <c r="D373" s="26" t="n">
        <v>-5.29</v>
      </c>
      <c r="E373" s="27" t="s">
        <v>50</v>
      </c>
    </row>
    <row r="374" customFormat="false" ht="15" hidden="false" customHeight="false" outlineLevel="0" collapsed="false">
      <c r="A374" s="23" t="s">
        <v>312</v>
      </c>
      <c r="B374" s="24" t="s">
        <v>313</v>
      </c>
      <c r="C374" s="25"/>
      <c r="D374" s="26" t="n">
        <v>-11.84</v>
      </c>
      <c r="E374" s="27" t="s">
        <v>33</v>
      </c>
    </row>
    <row r="375" customFormat="false" ht="15" hidden="false" customHeight="false" outlineLevel="0" collapsed="false">
      <c r="A375" s="28" t="s">
        <v>314</v>
      </c>
      <c r="B375" s="28"/>
      <c r="C375" s="28"/>
      <c r="D375" s="29" t="n">
        <f aca="false">SUM(D361:D374)</f>
        <v>-1261.3</v>
      </c>
      <c r="E375" s="30"/>
    </row>
  </sheetData>
  <mergeCells count="22">
    <mergeCell ref="A1:F1"/>
    <mergeCell ref="A2:F2"/>
    <mergeCell ref="A4:E4"/>
    <mergeCell ref="A45:C45"/>
    <mergeCell ref="A47:E47"/>
    <mergeCell ref="A64:C64"/>
    <mergeCell ref="A66:E66"/>
    <mergeCell ref="A174:C174"/>
    <mergeCell ref="A176:E176"/>
    <mergeCell ref="A184:C184"/>
    <mergeCell ref="A186:E186"/>
    <mergeCell ref="A197:C197"/>
    <mergeCell ref="A199:E199"/>
    <mergeCell ref="A221:C221"/>
    <mergeCell ref="A223:E223"/>
    <mergeCell ref="A272:C272"/>
    <mergeCell ref="A274:E274"/>
    <mergeCell ref="A293:C293"/>
    <mergeCell ref="A295:E295"/>
    <mergeCell ref="A357:C357"/>
    <mergeCell ref="A359:E359"/>
    <mergeCell ref="A375:C3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2026-08-12T14:08:27Z</dcterms:created>
  <dc:creator>openpyxl</dc:creator>
  <dc:description/>
  <dc:language>en-US</dc:language>
  <cp:lastModifiedBy/>
  <dcterms:modified xsi:type="dcterms:W3CDTF">2026-08-12T14:08:27Z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